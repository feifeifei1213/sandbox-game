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860" activeTab="5"/>
  </bookViews>
  <sheets>
    <sheet name="初始年财报" sheetId="3" r:id="rId1"/>
    <sheet name="0年经营" sheetId="1" r:id="rId2"/>
    <sheet name="0年财报" sheetId="5" r:id="rId3"/>
    <sheet name="1年经营" sheetId="6" r:id="rId4"/>
    <sheet name="1年财报" sheetId="7" r:id="rId5"/>
    <sheet name="2年经营" sheetId="60" r:id="rId6"/>
    <sheet name="2年财报" sheetId="61" r:id="rId7"/>
    <sheet name="3年经营" sheetId="62" r:id="rId8"/>
    <sheet name="3年财报" sheetId="63" r:id="rId9"/>
    <sheet name="4年经营" sheetId="64" r:id="rId10"/>
    <sheet name="4年财报" sheetId="65" r:id="rId11"/>
    <sheet name="5年经营" sheetId="66" r:id="rId12"/>
    <sheet name="5年财报" sheetId="67" r:id="rId13"/>
    <sheet name="6年经营" sheetId="68" r:id="rId14"/>
    <sheet name="6年财报" sheetId="69" r:id="rId15"/>
    <sheet name="7年经营" sheetId="70" r:id="rId16"/>
    <sheet name="7年财报" sheetId="71" r:id="rId17"/>
    <sheet name="8年经营" sheetId="73" r:id="rId18"/>
    <sheet name="8年财报" sheetId="74" r:id="rId19"/>
  </sheets>
  <definedNames>
    <definedName name="_xlnm._FilterDatabase" localSheetId="1" hidden="1">'0年经营'!$A$8:$P$61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<sst xmlns="http://schemas.openxmlformats.org/spreadsheetml/2006/main" count="1719" uniqueCount="147">
  <si>
    <t>损益表</t>
  </si>
  <si>
    <t>资产负债表</t>
  </si>
  <si>
    <t>资产</t>
  </si>
  <si>
    <t>负 债 ＋ 权 益</t>
  </si>
  <si>
    <t>销售收入</t>
  </si>
  <si>
    <t>非流动资产</t>
  </si>
  <si>
    <t>负债</t>
  </si>
  <si>
    <t>直接成本</t>
  </si>
  <si>
    <t>在建生产线</t>
  </si>
  <si>
    <t>厂房</t>
  </si>
  <si>
    <t>毛利</t>
  </si>
  <si>
    <t>生产线残值</t>
  </si>
  <si>
    <t xml:space="preserve">短期负债 </t>
  </si>
  <si>
    <t>待折资产</t>
  </si>
  <si>
    <t>长期负债</t>
  </si>
  <si>
    <t>总固定资产</t>
  </si>
  <si>
    <t>综合费用</t>
  </si>
  <si>
    <t>总负债</t>
  </si>
  <si>
    <t>折旧</t>
  </si>
  <si>
    <t>流动资产</t>
  </si>
  <si>
    <t>营业利润</t>
  </si>
  <si>
    <t>现金</t>
  </si>
  <si>
    <t>手动输入</t>
  </si>
  <si>
    <t>总权益</t>
  </si>
  <si>
    <t>应收款</t>
  </si>
  <si>
    <t>在制品</t>
  </si>
  <si>
    <t>股东资本</t>
  </si>
  <si>
    <t>财务收入/支出</t>
  </si>
  <si>
    <t>成品</t>
  </si>
  <si>
    <t>利润留存</t>
  </si>
  <si>
    <t>额外收入/支出</t>
  </si>
  <si>
    <t>材料</t>
  </si>
  <si>
    <t>年度净利润</t>
  </si>
  <si>
    <t>所得税后现金</t>
  </si>
  <si>
    <t>税前利润</t>
  </si>
  <si>
    <t>总流动资产</t>
  </si>
  <si>
    <t>总股东权益</t>
  </si>
  <si>
    <t>所得税</t>
  </si>
  <si>
    <t>总资产</t>
  </si>
  <si>
    <t>总负债权益</t>
  </si>
  <si>
    <t>年
初
工
作</t>
  </si>
  <si>
    <t>1.支付上年度所得税</t>
  </si>
  <si>
    <t>一般企业25%，高新企业15%  从现金取出放到利息中</t>
  </si>
  <si>
    <t>2.召开年度经营会议</t>
  </si>
  <si>
    <t>调整公司战略，制定当年经营和工作计划</t>
  </si>
  <si>
    <t>计划收入</t>
  </si>
  <si>
    <t>3.市场竞标</t>
  </si>
  <si>
    <t>区域</t>
  </si>
  <si>
    <t>基础产品</t>
  </si>
  <si>
    <t>标准产品</t>
  </si>
  <si>
    <t>精密产品</t>
  </si>
  <si>
    <t>智能产品</t>
  </si>
  <si>
    <t>区域市场
订单总价</t>
  </si>
  <si>
    <t>订单
总额</t>
  </si>
  <si>
    <t>市场
投入</t>
  </si>
  <si>
    <t>总价</t>
  </si>
  <si>
    <t>本地</t>
  </si>
  <si>
    <t>全国</t>
  </si>
  <si>
    <t>全球</t>
  </si>
  <si>
    <r>
      <rPr>
        <sz val="14"/>
        <color theme="1"/>
        <rFont val="楷体"/>
        <charset val="134"/>
      </rPr>
      <t>1.短期贷款更新账期</t>
    </r>
    <r>
      <rPr>
        <sz val="12"/>
        <color theme="1"/>
        <rFont val="楷体"/>
        <charset val="134"/>
      </rPr>
      <t xml:space="preserve">  
年利率：10%</t>
    </r>
  </si>
  <si>
    <t>第一季度</t>
  </si>
  <si>
    <t>二季度</t>
  </si>
  <si>
    <t>第二季度</t>
  </si>
  <si>
    <t>四季度</t>
  </si>
  <si>
    <t>第三季度</t>
  </si>
  <si>
    <t>第四季度</t>
  </si>
  <si>
    <t>总计</t>
  </si>
  <si>
    <t>增减</t>
  </si>
  <si>
    <t>到期还贷</t>
  </si>
  <si>
    <t>付利息</t>
  </si>
  <si>
    <t>新增贷款</t>
  </si>
  <si>
    <t>每季
度
工
作</t>
  </si>
  <si>
    <t>2.支付材料费用
支付前一季度订购的产品材料费，并将订单移至产品库</t>
  </si>
  <si>
    <t>合计</t>
  </si>
  <si>
    <t>3.产品进度更新   （每个在建交付产品向前移动一格，满格的移动到产品交付库）</t>
  </si>
  <si>
    <t>4.生产线调整
变更产品
拆除变卖
新生产线投资安装</t>
  </si>
  <si>
    <t>变更产品</t>
  </si>
  <si>
    <t xml:space="preserve">生产线拆除 1M/条
</t>
  </si>
  <si>
    <t>生产线出售 从资产残值中取出相应金额到现金并记账</t>
  </si>
  <si>
    <t>新生产线安装</t>
  </si>
  <si>
    <t>建成生产线转固</t>
  </si>
  <si>
    <r>
      <rPr>
        <sz val="14"/>
        <color theme="1"/>
        <rFont val="楷体"/>
        <charset val="134"/>
      </rPr>
      <t xml:space="preserve">5.人力资源管理
</t>
    </r>
    <r>
      <rPr>
        <sz val="10"/>
        <color theme="1"/>
        <rFont val="楷体"/>
        <charset val="134"/>
      </rPr>
      <t>招聘/辞退/待岗/上岗/培训</t>
    </r>
  </si>
  <si>
    <r>
      <rPr>
        <sz val="12"/>
        <color rgb="FFFF0000"/>
        <rFont val="楷体"/>
        <charset val="134"/>
      </rPr>
      <t>支付招聘、辞退、培训、待岗</t>
    </r>
    <r>
      <rPr>
        <sz val="12"/>
        <color theme="1"/>
        <rFont val="楷体"/>
        <charset val="134"/>
      </rPr>
      <t>费用</t>
    </r>
  </si>
  <si>
    <t>6.生产线空位投放材料，发放工人工资</t>
  </si>
  <si>
    <t>支付交付产品的生产线使用人员工资</t>
  </si>
  <si>
    <t>7.新技术研发投入</t>
  </si>
  <si>
    <t>技术研发</t>
  </si>
  <si>
    <t>8.管理体系投入</t>
  </si>
  <si>
    <t>质量环境健康费用</t>
  </si>
  <si>
    <r>
      <rPr>
        <sz val="14"/>
        <color theme="1"/>
        <rFont val="楷体"/>
        <charset val="134"/>
      </rPr>
      <t>9.</t>
    </r>
    <r>
      <rPr>
        <sz val="14"/>
        <color rgb="FFFF0000"/>
        <rFont val="楷体"/>
        <charset val="134"/>
      </rPr>
      <t>下新供应链订单</t>
    </r>
    <r>
      <rPr>
        <sz val="14"/>
        <color theme="1"/>
        <rFont val="楷体"/>
        <charset val="134"/>
      </rPr>
      <t>，以空桶代替，放到供应链订单上</t>
    </r>
  </si>
  <si>
    <r>
      <rPr>
        <sz val="13"/>
        <color theme="1"/>
        <rFont val="楷体"/>
        <charset val="134"/>
      </rPr>
      <t>10.更新应收账款，所有</t>
    </r>
    <r>
      <rPr>
        <sz val="13"/>
        <color rgb="FFFF0000"/>
        <rFont val="楷体"/>
        <charset val="134"/>
      </rPr>
      <t>应收向左移动一格</t>
    </r>
  </si>
  <si>
    <t>如应收账款进入现金区做记录</t>
  </si>
  <si>
    <t>11.产品验收交付</t>
  </si>
  <si>
    <t>交货订单销售额</t>
  </si>
  <si>
    <t>交货订单成本</t>
  </si>
  <si>
    <t>12.支付管理人员费用</t>
  </si>
  <si>
    <t>每季1M</t>
  </si>
  <si>
    <t>年末工作</t>
  </si>
  <si>
    <t>1.办理长期贷款
  账期更新</t>
  </si>
  <si>
    <t>年利率5%</t>
  </si>
  <si>
    <t>到期还款</t>
  </si>
  <si>
    <t>------------------------------------------------------</t>
  </si>
  <si>
    <t>办理新贷款</t>
  </si>
  <si>
    <t>2.支付生产线年度维护费1M/条</t>
  </si>
  <si>
    <t>3.生产厂房资产</t>
  </si>
  <si>
    <t>购买</t>
  </si>
  <si>
    <t xml:space="preserve">生产厂房A\B\C  价值（40M,32M,16M） </t>
  </si>
  <si>
    <t>出售</t>
  </si>
  <si>
    <t>4.生产厂房租金          付租金</t>
  </si>
  <si>
    <t>生产厂房A\B\C  租金（4M,3M,2M）</t>
  </si>
  <si>
    <t xml:space="preserve">5.生产线残值   </t>
  </si>
  <si>
    <t xml:space="preserve">6.生产线折旧 </t>
  </si>
  <si>
    <t>折旧前待折资产总价值</t>
  </si>
  <si>
    <r>
      <rPr>
        <sz val="14"/>
        <color theme="1"/>
        <rFont val="楷体"/>
        <charset val="134"/>
      </rPr>
      <t>折旧费（按待折资产的1/3取整,</t>
    </r>
    <r>
      <rPr>
        <sz val="14"/>
        <color rgb="FFFF0000"/>
        <rFont val="楷体"/>
        <charset val="134"/>
      </rPr>
      <t>从待折资产中取出</t>
    </r>
    <r>
      <rPr>
        <sz val="14"/>
        <color theme="1"/>
        <rFont val="楷体"/>
        <charset val="134"/>
      </rPr>
      <t>放入折旧费中）</t>
    </r>
  </si>
  <si>
    <t>未完工生产线价值</t>
  </si>
  <si>
    <t>7.新市场培育</t>
  </si>
  <si>
    <t>每年可向区域、全国、全球各投1M</t>
  </si>
  <si>
    <t>其他
收
支</t>
  </si>
  <si>
    <t>1.折现费用</t>
  </si>
  <si>
    <t>从应收账款取出8M,7M进入现金，1M进入折现费用</t>
  </si>
  <si>
    <t>2.额外支出及罚款</t>
  </si>
  <si>
    <t>3.额外收入及奖励</t>
  </si>
  <si>
    <t>现金收入</t>
  </si>
  <si>
    <t>现金支出</t>
  </si>
  <si>
    <t>市场回报比</t>
  </si>
  <si>
    <t>研发投入强度</t>
  </si>
  <si>
    <t>劳动生产率</t>
  </si>
  <si>
    <t>不动产增减值</t>
  </si>
  <si>
    <t>待折资产增减</t>
  </si>
  <si>
    <t>净产收益率</t>
  </si>
  <si>
    <t>总产收益</t>
  </si>
  <si>
    <t>残值增减</t>
  </si>
  <si>
    <t>应收增减</t>
  </si>
  <si>
    <t>净利润率</t>
  </si>
  <si>
    <t>毛率润率</t>
  </si>
  <si>
    <t>总非流动资产</t>
  </si>
  <si>
    <t>一般企业0.25</t>
  </si>
  <si>
    <t>手工输入</t>
  </si>
  <si>
    <t>高新企业0.15</t>
  </si>
  <si>
    <t>全额弥补亏损0</t>
  </si>
  <si>
    <t>每季工作</t>
  </si>
  <si>
    <t>2.支付生产线年度维护费  1M/条</t>
  </si>
  <si>
    <t>3.数据中心资产</t>
  </si>
  <si>
    <t xml:space="preserve">数据中心A\B\C  价值（40M,32M,16M） </t>
  </si>
  <si>
    <t>4.数据中心租金          付租金</t>
  </si>
  <si>
    <t>数据中心A\B\C  租金（4M,3M,2M）</t>
  </si>
  <si>
    <t>净产收益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</si>
</sst>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%"/>
    <numFmt numFmtId="178" formatCode="0.00_ "/>
  </numFmts>
  <fonts count="40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4"/>
      <color theme="1"/>
      <name val="楷体"/>
      <charset val="134"/>
    </font>
    <font>
      <sz val="14"/>
      <color theme="1"/>
      <name val="楷体"/>
      <charset val="134"/>
    </font>
    <font>
      <sz val="14"/>
      <color theme="1"/>
      <name val="宋体"/>
      <charset val="134"/>
      <scheme val="minor"/>
    </font>
    <font>
      <sz val="12"/>
      <color theme="1"/>
      <name val="楷体"/>
      <charset val="134"/>
    </font>
    <font>
      <sz val="10"/>
      <color theme="1"/>
      <name val="楷体"/>
      <charset val="134"/>
    </font>
    <font>
      <sz val="12"/>
      <color rgb="FFFF0000"/>
      <name val="楷体"/>
      <charset val="134"/>
    </font>
    <font>
      <sz val="13"/>
      <color theme="1"/>
      <name val="楷体"/>
      <charset val="134"/>
    </font>
    <font>
      <sz val="14"/>
      <color rgb="FFFF0000"/>
      <name val="楷体"/>
      <charset val="134"/>
    </font>
    <font>
      <sz val="9"/>
      <color theme="1"/>
      <name val="楷体"/>
      <charset val="134"/>
    </font>
    <font>
      <sz val="6"/>
      <color theme="1"/>
      <name val="楷体"/>
      <charset val="134"/>
    </font>
    <font>
      <sz val="11"/>
      <color theme="1"/>
      <name val="楷体"/>
      <charset val="134"/>
    </font>
    <font>
      <sz val="7"/>
      <name val="楷体"/>
      <charset val="134"/>
    </font>
    <font>
      <sz val="7"/>
      <color theme="1"/>
      <name val="楷体"/>
      <charset val="134"/>
    </font>
    <font>
      <sz val="8"/>
      <name val="楷体"/>
      <charset val="134"/>
    </font>
    <font>
      <sz val="9"/>
      <name val="楷体"/>
      <charset val="134"/>
    </font>
    <font>
      <sz val="11"/>
      <name val="宋体"/>
      <charset val="134"/>
      <scheme val="minor"/>
    </font>
    <font>
      <sz val="14"/>
      <name val="楷体"/>
      <charset val="134"/>
    </font>
    <font>
      <sz val="11"/>
      <name val="楷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3"/>
      <color rgb="FFFF0000"/>
      <name val="楷体"/>
      <charset val="134"/>
    </font>
  </fonts>
  <fills count="3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8596148564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8764000366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3" borderId="16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7" applyNumberFormat="0" applyFill="0" applyAlignment="0" applyProtection="0">
      <alignment vertical="center"/>
    </xf>
    <xf numFmtId="0" fontId="27" fillId="0" borderId="18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4" borderId="19" applyNumberFormat="0" applyAlignment="0" applyProtection="0">
      <alignment vertical="center"/>
    </xf>
    <xf numFmtId="0" fontId="29" fillId="15" borderId="20" applyNumberFormat="0" applyAlignment="0" applyProtection="0">
      <alignment vertical="center"/>
    </xf>
    <xf numFmtId="0" fontId="30" fillId="15" borderId="19" applyNumberFormat="0" applyAlignment="0" applyProtection="0">
      <alignment vertical="center"/>
    </xf>
    <xf numFmtId="0" fontId="31" fillId="16" borderId="21" applyNumberFormat="0" applyAlignment="0" applyProtection="0">
      <alignment vertical="center"/>
    </xf>
    <xf numFmtId="0" fontId="32" fillId="0" borderId="22" applyNumberFormat="0" applyFill="0" applyAlignment="0" applyProtection="0">
      <alignment vertical="center"/>
    </xf>
    <xf numFmtId="0" fontId="33" fillId="0" borderId="23" applyNumberFormat="0" applyFill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9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4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10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</cellStyleXfs>
  <cellXfs count="17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righ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2" fillId="2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right" vertical="center"/>
    </xf>
    <xf numFmtId="0" fontId="3" fillId="3" borderId="2" xfId="0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right" vertical="center"/>
    </xf>
    <xf numFmtId="9" fontId="3" fillId="0" borderId="0" xfId="0" applyNumberFormat="1" applyFont="1" applyFill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3" fillId="0" borderId="2" xfId="0" applyFont="1" applyBorder="1" applyAlignment="1">
      <alignment horizontal="left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10" borderId="9" xfId="0" applyFont="1" applyFill="1" applyBorder="1" applyAlignment="1">
      <alignment horizontal="center" vertical="center" wrapText="1"/>
    </xf>
    <xf numFmtId="0" fontId="3" fillId="10" borderId="10" xfId="0" applyFont="1" applyFill="1" applyBorder="1" applyAlignment="1">
      <alignment horizontal="center" vertical="center" wrapText="1"/>
    </xf>
    <xf numFmtId="0" fontId="3" fillId="11" borderId="5" xfId="0" applyFont="1" applyFill="1" applyBorder="1" applyAlignment="1">
      <alignment horizontal="center" vertical="center" wrapText="1"/>
    </xf>
    <xf numFmtId="0" fontId="3" fillId="11" borderId="6" xfId="0" applyFont="1" applyFill="1" applyBorder="1" applyAlignment="1">
      <alignment horizontal="center" vertical="center" wrapText="1"/>
    </xf>
    <xf numFmtId="0" fontId="3" fillId="10" borderId="11" xfId="0" applyFont="1" applyFill="1" applyBorder="1" applyAlignment="1">
      <alignment horizontal="center" vertical="center" wrapText="1"/>
    </xf>
    <xf numFmtId="0" fontId="3" fillId="11" borderId="7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10" borderId="6" xfId="0" applyFont="1" applyFill="1" applyBorder="1" applyAlignment="1">
      <alignment horizontal="center" vertical="center" wrapText="1"/>
    </xf>
    <xf numFmtId="0" fontId="3" fillId="0" borderId="10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10" borderId="7" xfId="0" applyFont="1" applyFill="1" applyBorder="1" applyAlignment="1">
      <alignment horizontal="center" vertical="center" wrapText="1"/>
    </xf>
    <xf numFmtId="0" fontId="3" fillId="0" borderId="1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8" borderId="7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center" vertical="center" wrapText="1"/>
    </xf>
    <xf numFmtId="0" fontId="3" fillId="4" borderId="13" xfId="0" applyFont="1" applyFill="1" applyBorder="1" applyAlignment="1">
      <alignment horizontal="center" vertical="center" wrapText="1"/>
    </xf>
    <xf numFmtId="0" fontId="3" fillId="4" borderId="9" xfId="0" applyFont="1" applyFill="1" applyBorder="1" applyAlignment="1">
      <alignment horizontal="left" vertical="center" wrapText="1"/>
    </xf>
    <xf numFmtId="0" fontId="3" fillId="4" borderId="13" xfId="0" applyFont="1" applyFill="1" applyBorder="1" applyAlignment="1">
      <alignment horizontal="left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3" fillId="4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left" vertical="center" wrapText="1"/>
    </xf>
    <xf numFmtId="0" fontId="3" fillId="4" borderId="14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left" vertical="center" wrapText="1"/>
    </xf>
    <xf numFmtId="0" fontId="3" fillId="4" borderId="15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4" borderId="12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3" fillId="4" borderId="0" xfId="0" applyFont="1" applyFill="1" applyAlignment="1">
      <alignment horizontal="center" vertical="center" wrapText="1"/>
    </xf>
    <xf numFmtId="0" fontId="3" fillId="0" borderId="7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left" vertical="center" wrapText="1"/>
    </xf>
    <xf numFmtId="49" fontId="3" fillId="0" borderId="12" xfId="0" applyNumberFormat="1" applyFont="1" applyBorder="1" applyAlignment="1">
      <alignment horizontal="left" vertical="center" wrapText="1"/>
    </xf>
    <xf numFmtId="49" fontId="3" fillId="0" borderId="13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5" xfId="0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 wrapText="1"/>
    </xf>
    <xf numFmtId="49" fontId="3" fillId="0" borderId="15" xfId="0" applyNumberFormat="1" applyFont="1" applyBorder="1" applyAlignment="1">
      <alignment horizontal="left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/>
    </xf>
    <xf numFmtId="49" fontId="3" fillId="0" borderId="2" xfId="0" applyNumberFormat="1" applyFont="1" applyBorder="1" applyAlignment="1">
      <alignment horizontal="left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12" borderId="2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0" borderId="2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3" fillId="6" borderId="2" xfId="0" applyFont="1" applyFill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176" fontId="12" fillId="2" borderId="2" xfId="0" applyNumberFormat="1" applyFont="1" applyFill="1" applyBorder="1" applyAlignment="1">
      <alignment horizontal="center" vertical="center" wrapText="1"/>
    </xf>
    <xf numFmtId="0" fontId="11" fillId="7" borderId="4" xfId="0" applyFont="1" applyFill="1" applyBorder="1" applyAlignment="1">
      <alignment horizontal="center" vertical="center" wrapText="1"/>
    </xf>
    <xf numFmtId="177" fontId="3" fillId="2" borderId="2" xfId="0" applyNumberFormat="1" applyFont="1" applyFill="1" applyBorder="1" applyAlignment="1">
      <alignment horizontal="center" vertical="center" wrapText="1"/>
    </xf>
    <xf numFmtId="178" fontId="13" fillId="0" borderId="2" xfId="0" applyNumberFormat="1" applyFont="1" applyBorder="1" applyAlignment="1">
      <alignment horizontal="center" vertical="center" wrapText="1"/>
    </xf>
    <xf numFmtId="178" fontId="10" fillId="2" borderId="2" xfId="0" applyNumberFormat="1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/>
    </xf>
    <xf numFmtId="0" fontId="10" fillId="0" borderId="4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 wrapText="1"/>
    </xf>
    <xf numFmtId="178" fontId="15" fillId="0" borderId="2" xfId="0" applyNumberFormat="1" applyFont="1" applyBorder="1" applyAlignment="1">
      <alignment horizontal="center" vertical="center" wrapText="1"/>
    </xf>
    <xf numFmtId="10" fontId="16" fillId="11" borderId="2" xfId="0" applyNumberFormat="1" applyFont="1" applyFill="1" applyBorder="1" applyAlignment="1">
      <alignment horizontal="center" vertical="center" wrapText="1"/>
    </xf>
    <xf numFmtId="178" fontId="15" fillId="0" borderId="7" xfId="0" applyNumberFormat="1" applyFont="1" applyBorder="1" applyAlignment="1">
      <alignment horizontal="center" vertical="center" wrapText="1"/>
    </xf>
    <xf numFmtId="178" fontId="15" fillId="0" borderId="0" xfId="0" applyNumberFormat="1" applyFont="1" applyFill="1" applyBorder="1" applyAlignment="1">
      <alignment horizontal="center" vertical="center" wrapText="1"/>
    </xf>
    <xf numFmtId="0" fontId="17" fillId="0" borderId="0" xfId="0" applyFont="1" applyFill="1" applyBorder="1">
      <alignment vertical="center"/>
    </xf>
    <xf numFmtId="0" fontId="18" fillId="0" borderId="0" xfId="0" applyFont="1" applyFill="1" applyBorder="1" applyAlignment="1">
      <alignment horizontal="center" vertical="center" wrapText="1"/>
    </xf>
    <xf numFmtId="0" fontId="5" fillId="0" borderId="0" xfId="0" applyFont="1">
      <alignment vertical="center"/>
    </xf>
    <xf numFmtId="0" fontId="6" fillId="7" borderId="2" xfId="0" applyFont="1" applyFill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Fill="1">
      <alignment vertical="center"/>
    </xf>
    <xf numFmtId="10" fontId="16" fillId="0" borderId="0" xfId="0" applyNumberFormat="1" applyFont="1" applyFill="1" applyBorder="1" applyAlignment="1">
      <alignment horizontal="center" vertical="center" wrapText="1"/>
    </xf>
    <xf numFmtId="0" fontId="3" fillId="5" borderId="12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10" borderId="14" xfId="0" applyFont="1" applyFill="1" applyBorder="1" applyAlignment="1">
      <alignment horizontal="center" vertical="center" wrapText="1"/>
    </xf>
    <xf numFmtId="0" fontId="3" fillId="10" borderId="15" xfId="0" applyFont="1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3" fillId="10" borderId="8" xfId="0" applyFont="1" applyFill="1" applyBorder="1" applyAlignment="1">
      <alignment horizontal="center" vertical="center" wrapText="1"/>
    </xf>
    <xf numFmtId="0" fontId="3" fillId="10" borderId="4" xfId="0" applyFont="1" applyFill="1" applyBorder="1" applyAlignment="1">
      <alignment horizontal="center" vertical="center" wrapText="1"/>
    </xf>
    <xf numFmtId="176" fontId="6" fillId="2" borderId="2" xfId="0" applyNumberFormat="1" applyFont="1" applyFill="1" applyBorder="1" applyAlignment="1">
      <alignment horizontal="center" vertical="center" wrapText="1"/>
    </xf>
    <xf numFmtId="177" fontId="12" fillId="2" borderId="2" xfId="0" applyNumberFormat="1" applyFont="1" applyFill="1" applyBorder="1" applyAlignment="1">
      <alignment horizontal="center" vertical="center" wrapText="1"/>
    </xf>
    <xf numFmtId="176" fontId="10" fillId="2" borderId="2" xfId="0" applyNumberFormat="1" applyFont="1" applyFill="1" applyBorder="1" applyAlignment="1">
      <alignment horizontal="center" vertical="center" wrapText="1"/>
    </xf>
    <xf numFmtId="0" fontId="0" fillId="0" borderId="13" xfId="0" applyBorder="1">
      <alignment vertical="center"/>
    </xf>
    <xf numFmtId="178" fontId="16" fillId="0" borderId="0" xfId="0" applyNumberFormat="1" applyFont="1" applyFill="1" applyBorder="1" applyAlignment="1">
      <alignment horizontal="center" vertical="center" wrapText="1"/>
    </xf>
    <xf numFmtId="178" fontId="19" fillId="0" borderId="0" xfId="0" applyNumberFormat="1" applyFont="1" applyFill="1" applyBorder="1">
      <alignment vertical="center"/>
    </xf>
    <xf numFmtId="0" fontId="3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2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tyles" Target="styles.xml"/><Relationship Id="rId21" Type="http://schemas.openxmlformats.org/officeDocument/2006/relationships/sharedStrings" Target="sharedString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2"/>
  <sheetViews>
    <sheetView zoomScale="130" zoomScaleNormal="130" topLeftCell="A3" workbookViewId="0">
      <selection activeCell="G18" sqref="G18"/>
    </sheetView>
  </sheetViews>
  <sheetFormatPr defaultColWidth="8.75833333333333" defaultRowHeight="13.5"/>
  <cols>
    <col min="1" max="1" width="4.25833333333333" customWidth="1"/>
    <col min="2" max="2" width="19.375" customWidth="1"/>
    <col min="3" max="4" width="12.125" customWidth="1"/>
    <col min="5" max="5" width="2.75833333333333" customWidth="1"/>
    <col min="6" max="6" width="15.5" customWidth="1"/>
    <col min="7" max="8" width="12.125" customWidth="1"/>
    <col min="9" max="9" width="2.875" customWidth="1"/>
    <col min="10" max="10" width="15.5" customWidth="1"/>
    <col min="11" max="11" width="12.125" customWidth="1"/>
    <col min="14" max="14" width="8.625" customWidth="1"/>
  </cols>
  <sheetData>
    <row r="1" spans="1:11">
      <c r="C1" s="2"/>
    </row>
    <row r="2" ht="20.1" customHeight="1" spans="1:11">
      <c r="A2" s="1"/>
      <c r="B2" s="3" t="s">
        <v>0</v>
      </c>
      <c r="C2" s="4"/>
      <c r="D2" s="5"/>
      <c r="E2" s="5"/>
      <c r="F2" s="172"/>
      <c r="G2" s="172"/>
      <c r="H2" s="173" t="s">
        <v>1</v>
      </c>
      <c r="I2" s="173"/>
      <c r="J2" s="173"/>
      <c r="K2" s="172"/>
    </row>
    <row r="3" ht="20.1" customHeight="1" spans="1:11">
      <c r="A3" s="1"/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ht="20.1" customHeight="1" spans="1:11">
      <c r="A4" s="1"/>
      <c r="B4" s="9" t="s">
        <v>4</v>
      </c>
      <c r="C4" s="13">
        <v>32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ht="20.1" customHeight="1" spans="1:11">
      <c r="A5" s="1"/>
      <c r="B5" s="9" t="s">
        <v>7</v>
      </c>
      <c r="C5" s="13">
        <v>15</v>
      </c>
      <c r="D5" s="5"/>
      <c r="E5" s="5"/>
      <c r="F5" s="9" t="s">
        <v>8</v>
      </c>
      <c r="G5" s="9">
        <v>0</v>
      </c>
      <c r="H5" s="5"/>
      <c r="I5" s="5"/>
      <c r="J5" s="5"/>
      <c r="K5" s="5"/>
    </row>
    <row r="6" ht="20.1" customHeight="1" spans="1:11">
      <c r="A6" s="1"/>
      <c r="B6" s="9"/>
      <c r="C6" s="13"/>
      <c r="D6" s="5"/>
      <c r="E6" s="5"/>
      <c r="F6" s="9" t="s">
        <v>9</v>
      </c>
      <c r="G6" s="9">
        <v>40</v>
      </c>
      <c r="H6" s="5"/>
      <c r="I6" s="5"/>
      <c r="J6" s="5"/>
      <c r="K6" s="5"/>
    </row>
    <row r="7" ht="20.1" customHeight="1" spans="1:11">
      <c r="A7" s="1"/>
      <c r="B7" s="14" t="s">
        <v>10</v>
      </c>
      <c r="C7" s="15">
        <f>C4-C5</f>
        <v>17</v>
      </c>
      <c r="D7" s="5"/>
      <c r="E7" s="5"/>
      <c r="F7" s="9" t="s">
        <v>11</v>
      </c>
      <c r="G7" s="9">
        <v>3</v>
      </c>
      <c r="H7" s="5"/>
      <c r="I7" s="5"/>
      <c r="J7" s="9" t="s">
        <v>12</v>
      </c>
      <c r="K7" s="9">
        <v>20</v>
      </c>
    </row>
    <row r="8" ht="20.1" customHeight="1" spans="1:11">
      <c r="A8" s="1"/>
      <c r="B8" s="9"/>
      <c r="C8" s="13"/>
      <c r="D8" s="5"/>
      <c r="E8" s="5"/>
      <c r="F8" s="9" t="s">
        <v>13</v>
      </c>
      <c r="G8" s="9">
        <v>0</v>
      </c>
      <c r="H8" s="5"/>
      <c r="I8" s="5"/>
      <c r="J8" s="9" t="s">
        <v>14</v>
      </c>
      <c r="K8" s="9">
        <v>0</v>
      </c>
    </row>
    <row r="9" ht="20.1" customHeight="1" spans="1:11">
      <c r="A9" s="1"/>
      <c r="B9" s="9"/>
      <c r="C9" s="13"/>
      <c r="D9" s="5"/>
      <c r="E9" s="5"/>
      <c r="F9" s="14" t="s">
        <v>15</v>
      </c>
      <c r="G9" s="14">
        <f>G6+G7+G8</f>
        <v>43</v>
      </c>
      <c r="H9" s="5"/>
      <c r="I9" s="5"/>
      <c r="J9" s="5"/>
      <c r="K9" s="5"/>
    </row>
    <row r="10" ht="20.1" customHeight="1" spans="1:11">
      <c r="A10" s="1"/>
      <c r="B10" s="9" t="s">
        <v>16</v>
      </c>
      <c r="C10" s="13">
        <v>13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ht="20.1" customHeight="1" spans="1:11">
      <c r="A11" s="1"/>
      <c r="B11" s="9" t="s">
        <v>18</v>
      </c>
      <c r="C11" s="13">
        <v>1</v>
      </c>
      <c r="D11" s="5"/>
      <c r="E11" s="5"/>
      <c r="F11" s="11" t="s">
        <v>19</v>
      </c>
      <c r="G11" s="12"/>
      <c r="H11" s="5"/>
      <c r="I11" s="5"/>
      <c r="J11" s="5"/>
      <c r="K11" s="5"/>
    </row>
    <row r="12" ht="20.1" customHeight="1" spans="1:11">
      <c r="A12" s="1"/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ht="20.1" customHeight="1" spans="1:11">
      <c r="A13" s="1"/>
      <c r="B13" s="14" t="s">
        <v>20</v>
      </c>
      <c r="C13" s="15">
        <f>C7-C10-C11</f>
        <v>3</v>
      </c>
      <c r="D13" s="5"/>
      <c r="E13" s="5"/>
      <c r="F13" s="9" t="s">
        <v>21</v>
      </c>
      <c r="G13" s="9">
        <v>36</v>
      </c>
      <c r="H13" s="5" t="s">
        <v>22</v>
      </c>
      <c r="I13" s="5"/>
      <c r="J13" s="11" t="s">
        <v>23</v>
      </c>
      <c r="K13" s="12"/>
    </row>
    <row r="14" ht="20.1" customHeight="1" spans="1:11">
      <c r="A14" s="1"/>
      <c r="B14" s="9"/>
      <c r="C14" s="13"/>
      <c r="D14" s="5"/>
      <c r="E14" s="5"/>
      <c r="F14" s="9" t="s">
        <v>24</v>
      </c>
      <c r="G14" s="9">
        <v>0</v>
      </c>
      <c r="H14" s="5" t="s">
        <v>22</v>
      </c>
      <c r="I14" s="5"/>
      <c r="J14" s="5"/>
      <c r="K14" s="5"/>
    </row>
    <row r="15" ht="20.1" customHeight="1" spans="1:11">
      <c r="A15" s="1"/>
      <c r="B15" s="9"/>
      <c r="C15" s="13"/>
      <c r="D15" s="5"/>
      <c r="E15" s="5"/>
      <c r="F15" s="9" t="s">
        <v>25</v>
      </c>
      <c r="G15" s="9">
        <v>6</v>
      </c>
      <c r="H15" s="5" t="s">
        <v>22</v>
      </c>
      <c r="I15" s="5"/>
      <c r="J15" s="9" t="s">
        <v>26</v>
      </c>
      <c r="K15" s="9">
        <v>50</v>
      </c>
    </row>
    <row r="16" ht="20.1" customHeight="1" spans="1:11">
      <c r="A16" s="1"/>
      <c r="B16" s="9" t="s">
        <v>27</v>
      </c>
      <c r="C16" s="13">
        <v>2</v>
      </c>
      <c r="D16" s="5"/>
      <c r="E16" s="5"/>
      <c r="F16" s="9" t="s">
        <v>28</v>
      </c>
      <c r="G16" s="9">
        <v>4</v>
      </c>
      <c r="H16" s="5" t="s">
        <v>22</v>
      </c>
      <c r="I16" s="5"/>
      <c r="J16" s="9" t="s">
        <v>29</v>
      </c>
      <c r="K16" s="9">
        <v>17</v>
      </c>
    </row>
    <row r="17" ht="20.1" customHeight="1" spans="1:11">
      <c r="A17" s="1"/>
      <c r="B17" s="9" t="s">
        <v>30</v>
      </c>
      <c r="C17" s="13">
        <v>2</v>
      </c>
      <c r="D17" s="5"/>
      <c r="E17" s="5"/>
      <c r="F17" s="9" t="s">
        <v>31</v>
      </c>
      <c r="G17" s="9">
        <v>1</v>
      </c>
      <c r="H17" s="5" t="s">
        <v>22</v>
      </c>
      <c r="I17" s="5"/>
      <c r="J17" s="9" t="s">
        <v>32</v>
      </c>
      <c r="K17" s="14">
        <f>C22</f>
        <v>2</v>
      </c>
    </row>
    <row r="18" ht="20.1" customHeight="1" spans="1:11">
      <c r="A18" s="1"/>
      <c r="B18" s="9"/>
      <c r="C18" s="13"/>
      <c r="D18" s="5"/>
      <c r="E18" s="5"/>
      <c r="F18" s="9" t="s">
        <v>33</v>
      </c>
      <c r="G18" s="174">
        <f>G13-C21</f>
        <v>35</v>
      </c>
      <c r="H18" s="5"/>
      <c r="I18" s="5"/>
      <c r="J18" s="5"/>
      <c r="K18" s="5"/>
    </row>
    <row r="19" ht="20.1" customHeight="1" spans="1:11">
      <c r="A19" s="1"/>
      <c r="B19" s="14" t="s">
        <v>34</v>
      </c>
      <c r="C19" s="15">
        <f>C13-C16+C17</f>
        <v>3</v>
      </c>
      <c r="D19" s="5"/>
      <c r="E19" s="5"/>
      <c r="F19" s="14" t="s">
        <v>35</v>
      </c>
      <c r="G19" s="14">
        <f>SUM(G14:G18)</f>
        <v>46</v>
      </c>
      <c r="H19" s="5"/>
      <c r="I19" s="5"/>
      <c r="J19" s="9" t="s">
        <v>36</v>
      </c>
      <c r="K19" s="14">
        <f>K15+K16+K17</f>
        <v>69</v>
      </c>
    </row>
    <row r="20" ht="20.1" customHeight="1" spans="1:11">
      <c r="A20" s="1"/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ht="20.1" customHeight="1" spans="1:11">
      <c r="A21" s="1"/>
      <c r="B21" s="9" t="s">
        <v>37</v>
      </c>
      <c r="C21" s="13">
        <v>1</v>
      </c>
      <c r="D21" s="5" t="s">
        <v>22</v>
      </c>
      <c r="E21" s="5"/>
      <c r="F21" s="5"/>
      <c r="G21" s="5"/>
      <c r="H21" s="5"/>
      <c r="I21" s="5"/>
      <c r="J21" s="5"/>
      <c r="K21" s="5"/>
    </row>
    <row r="22" ht="20.1" customHeight="1" spans="1:11">
      <c r="A22" s="1"/>
      <c r="B22" s="14" t="s">
        <v>32</v>
      </c>
      <c r="C22" s="15">
        <f>C19-C21</f>
        <v>2</v>
      </c>
      <c r="D22" s="5"/>
      <c r="E22" s="5"/>
      <c r="F22" s="14" t="s">
        <v>38</v>
      </c>
      <c r="G22" s="14">
        <f>G9+G19</f>
        <v>89</v>
      </c>
      <c r="H22" s="5"/>
      <c r="I22" s="5"/>
      <c r="J22" s="14" t="s">
        <v>39</v>
      </c>
      <c r="K22" s="14">
        <f>K19+K10</f>
        <v>89</v>
      </c>
    </row>
  </sheetData>
  <mergeCells count="7">
    <mergeCell ref="B2:C2"/>
    <mergeCell ref="F3:G3"/>
    <mergeCell ref="J3:K3"/>
    <mergeCell ref="F4:G4"/>
    <mergeCell ref="J4:K4"/>
    <mergeCell ref="F11:G11"/>
    <mergeCell ref="J13:K13"/>
  </mergeCells>
  <pageMargins left="0.751388888888889" right="0.751388888888889" top="0.60625" bottom="0.60625" header="0.5" footer="0.5"/>
  <pageSetup paperSize="8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workbookViewId="0">
      <selection activeCell="U16" sqref="U16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24" customWidth="1"/>
    <col min="5" max="5" width="10.2583333333333" customWidth="1"/>
    <col min="6" max="6" width="8.875" customWidth="1"/>
    <col min="7" max="10" width="7.125" customWidth="1"/>
    <col min="11" max="11" width="7.375" customWidth="1"/>
    <col min="12" max="14" width="7.125" customWidth="1"/>
    <col min="15" max="15" width="11.875" customWidth="1"/>
  </cols>
  <sheetData>
    <row r="1" ht="18.75" customHeight="1" spans="1:25">
      <c r="A1" s="159" t="s">
        <v>40</v>
      </c>
      <c r="B1" s="59" t="s">
        <v>41</v>
      </c>
      <c r="C1" s="60"/>
      <c r="D1" s="61"/>
      <c r="E1" s="26" t="s">
        <v>42</v>
      </c>
      <c r="F1" s="27"/>
      <c r="G1" s="27"/>
      <c r="H1" s="27"/>
      <c r="I1" s="27"/>
      <c r="J1" s="27"/>
      <c r="K1" s="27"/>
      <c r="L1" s="28"/>
      <c r="M1" s="29">
        <f>初始年财报!C21</f>
        <v>1</v>
      </c>
      <c r="N1" s="29"/>
      <c r="O1" s="30" t="s">
        <v>16</v>
      </c>
      <c r="P1" s="30"/>
    </row>
    <row r="2" ht="18" customHeight="1" spans="1:25">
      <c r="A2" s="160"/>
      <c r="B2" s="59" t="s">
        <v>43</v>
      </c>
      <c r="C2" s="60"/>
      <c r="D2" s="61"/>
      <c r="E2" s="26" t="s">
        <v>44</v>
      </c>
      <c r="F2" s="27"/>
      <c r="G2" s="27"/>
      <c r="H2" s="27"/>
      <c r="I2" s="27"/>
      <c r="J2" s="27"/>
      <c r="K2" s="31" t="s">
        <v>45</v>
      </c>
      <c r="L2" s="31"/>
      <c r="M2" s="32"/>
      <c r="N2" s="32"/>
      <c r="O2" s="33">
        <f>P5+O21+O22+O29+O33+O34+O40+O45+O48+O53</f>
        <v>0</v>
      </c>
      <c r="P2" s="34"/>
      <c r="Q2" s="35"/>
      <c r="R2" s="35"/>
      <c r="S2" s="35"/>
      <c r="T2" s="35"/>
      <c r="U2" s="35"/>
      <c r="V2" s="35"/>
      <c r="W2" s="35"/>
      <c r="X2" s="35"/>
      <c r="Y2" s="35"/>
    </row>
    <row r="3" ht="18" customHeight="1" spans="1:25">
      <c r="A3" s="160"/>
      <c r="B3" s="48" t="s">
        <v>46</v>
      </c>
      <c r="C3" s="50"/>
      <c r="D3" s="31" t="s">
        <v>47</v>
      </c>
      <c r="E3" s="31" t="s">
        <v>48</v>
      </c>
      <c r="F3" s="31"/>
      <c r="G3" s="31" t="s">
        <v>49</v>
      </c>
      <c r="H3" s="31"/>
      <c r="I3" s="37" t="s">
        <v>50</v>
      </c>
      <c r="J3" s="38"/>
      <c r="K3" s="31" t="s">
        <v>51</v>
      </c>
      <c r="L3" s="31"/>
      <c r="M3" s="31" t="s">
        <v>52</v>
      </c>
      <c r="N3" s="31"/>
      <c r="O3" s="39" t="s">
        <v>53</v>
      </c>
      <c r="P3" s="39" t="s">
        <v>54</v>
      </c>
      <c r="Q3" s="35"/>
      <c r="R3" s="35"/>
      <c r="S3" s="35"/>
      <c r="T3" s="35"/>
      <c r="U3" s="35"/>
      <c r="V3" s="35"/>
      <c r="W3" s="35"/>
      <c r="X3" s="35"/>
      <c r="Y3" s="35"/>
    </row>
    <row r="4" ht="18" customHeight="1" spans="1:25">
      <c r="A4" s="160"/>
      <c r="B4" s="52"/>
      <c r="C4" s="54"/>
      <c r="D4" s="31"/>
      <c r="E4" s="31" t="s">
        <v>55</v>
      </c>
      <c r="F4" s="31"/>
      <c r="G4" s="31" t="s">
        <v>55</v>
      </c>
      <c r="H4" s="31"/>
      <c r="I4" s="31" t="s">
        <v>55</v>
      </c>
      <c r="J4" s="31"/>
      <c r="K4" s="31" t="s">
        <v>55</v>
      </c>
      <c r="L4" s="31"/>
      <c r="M4" s="31"/>
      <c r="N4" s="31"/>
      <c r="O4" s="39"/>
      <c r="P4" s="39"/>
      <c r="Q4" s="35"/>
      <c r="R4" s="35"/>
      <c r="S4" s="35"/>
      <c r="T4" s="35"/>
      <c r="U4" s="35"/>
      <c r="V4" s="35"/>
      <c r="W4" s="35"/>
      <c r="X4" s="35"/>
      <c r="Y4" s="35"/>
    </row>
    <row r="5" ht="18" customHeight="1" spans="1:25">
      <c r="A5" s="160"/>
      <c r="B5" s="52"/>
      <c r="C5" s="54"/>
      <c r="D5" s="31" t="s">
        <v>56</v>
      </c>
      <c r="E5" s="32"/>
      <c r="F5" s="32"/>
      <c r="G5" s="32"/>
      <c r="H5" s="32"/>
      <c r="I5" s="32"/>
      <c r="J5" s="32"/>
      <c r="K5" s="32"/>
      <c r="L5" s="32"/>
      <c r="M5" s="40">
        <f t="shared" ref="M5:M8" si="0">SUM(E5:L5)</f>
        <v>0</v>
      </c>
      <c r="N5" s="40"/>
      <c r="O5" s="40">
        <f>SUM(M5:N8)</f>
        <v>0</v>
      </c>
      <c r="P5" s="32"/>
      <c r="Q5" s="35"/>
      <c r="R5" s="35"/>
      <c r="S5" s="35"/>
      <c r="T5" s="35"/>
      <c r="U5" s="35"/>
      <c r="V5" s="35"/>
      <c r="W5" s="35"/>
      <c r="X5" s="35"/>
      <c r="Y5" s="35"/>
    </row>
    <row r="6" ht="18" customHeight="1" spans="1:25">
      <c r="A6" s="160"/>
      <c r="B6" s="52"/>
      <c r="C6" s="54"/>
      <c r="D6" s="31" t="s">
        <v>47</v>
      </c>
      <c r="E6" s="32"/>
      <c r="F6" s="32"/>
      <c r="G6" s="32"/>
      <c r="H6" s="32"/>
      <c r="I6" s="32"/>
      <c r="J6" s="32"/>
      <c r="K6" s="32"/>
      <c r="L6" s="32"/>
      <c r="M6" s="40">
        <f t="shared" si="0"/>
        <v>0</v>
      </c>
      <c r="N6" s="40"/>
      <c r="O6" s="40"/>
      <c r="P6" s="32"/>
      <c r="Q6" s="35"/>
      <c r="R6" s="35"/>
      <c r="S6" s="35"/>
      <c r="T6" s="35"/>
      <c r="U6" s="35"/>
      <c r="V6" s="35"/>
      <c r="W6" s="35"/>
      <c r="X6" s="35"/>
      <c r="Y6" s="35"/>
    </row>
    <row r="7" ht="18" customHeight="1" spans="1:25">
      <c r="A7" s="160"/>
      <c r="B7" s="52"/>
      <c r="C7" s="54"/>
      <c r="D7" s="31" t="s">
        <v>57</v>
      </c>
      <c r="E7" s="32"/>
      <c r="F7" s="32"/>
      <c r="G7" s="32"/>
      <c r="H7" s="32"/>
      <c r="I7" s="32"/>
      <c r="J7" s="32"/>
      <c r="K7" s="32"/>
      <c r="L7" s="32"/>
      <c r="M7" s="40">
        <f t="shared" si="0"/>
        <v>0</v>
      </c>
      <c r="N7" s="40"/>
      <c r="O7" s="40"/>
      <c r="P7" s="32"/>
      <c r="Q7" s="24"/>
      <c r="R7" s="35"/>
      <c r="S7" s="35"/>
      <c r="T7" s="35"/>
      <c r="U7" s="35"/>
      <c r="V7" s="35"/>
      <c r="W7" s="35"/>
      <c r="X7" s="35"/>
      <c r="Y7" s="35"/>
    </row>
    <row r="8" ht="18" customHeight="1" spans="1:25">
      <c r="A8" s="160"/>
      <c r="B8" s="56"/>
      <c r="C8" s="58"/>
      <c r="D8" s="31" t="s">
        <v>58</v>
      </c>
      <c r="E8" s="32"/>
      <c r="F8" s="32"/>
      <c r="G8" s="32"/>
      <c r="H8" s="32"/>
      <c r="I8" s="32"/>
      <c r="J8" s="32"/>
      <c r="K8" s="32"/>
      <c r="L8" s="32"/>
      <c r="M8" s="40">
        <f t="shared" si="0"/>
        <v>0</v>
      </c>
      <c r="N8" s="40"/>
      <c r="O8" s="40"/>
      <c r="P8" s="32"/>
      <c r="Q8" s="24"/>
      <c r="R8" s="35"/>
      <c r="S8" s="35"/>
      <c r="T8" s="35"/>
      <c r="U8" s="35"/>
      <c r="V8" s="35"/>
      <c r="W8" s="35"/>
      <c r="X8" s="35"/>
      <c r="Y8" s="35"/>
    </row>
    <row r="9" ht="18" customHeight="1" spans="1:25">
      <c r="A9" s="161"/>
      <c r="B9" s="36" t="s">
        <v>59</v>
      </c>
      <c r="C9" s="36"/>
      <c r="D9" s="36"/>
      <c r="E9" s="31"/>
      <c r="F9" s="31"/>
      <c r="G9" s="31" t="s">
        <v>60</v>
      </c>
      <c r="H9" s="31" t="s">
        <v>61</v>
      </c>
      <c r="I9" s="31" t="s">
        <v>62</v>
      </c>
      <c r="J9" s="31" t="s">
        <v>63</v>
      </c>
      <c r="K9" s="31" t="s">
        <v>64</v>
      </c>
      <c r="L9" s="31"/>
      <c r="M9" s="31" t="s">
        <v>65</v>
      </c>
      <c r="N9" s="31"/>
      <c r="O9" s="31" t="s">
        <v>66</v>
      </c>
      <c r="P9" s="31" t="s">
        <v>67</v>
      </c>
      <c r="Q9" s="35"/>
      <c r="R9" s="35"/>
      <c r="S9" s="35"/>
      <c r="T9" s="35"/>
      <c r="U9" s="35"/>
      <c r="V9" s="35"/>
      <c r="W9" s="35"/>
      <c r="X9" s="35"/>
      <c r="Y9" s="35"/>
    </row>
    <row r="10" ht="18" customHeight="1" spans="1:25">
      <c r="A10" s="161"/>
      <c r="B10" s="36"/>
      <c r="C10" s="36"/>
      <c r="D10" s="36"/>
      <c r="E10" s="31" t="s">
        <v>68</v>
      </c>
      <c r="F10" s="31"/>
      <c r="G10" s="32"/>
      <c r="H10" s="32"/>
      <c r="I10" s="32"/>
      <c r="J10" s="32"/>
      <c r="K10" s="32"/>
      <c r="L10" s="32"/>
      <c r="M10" s="32"/>
      <c r="N10" s="32"/>
      <c r="O10" s="40">
        <f>SUM(G10:N10)</f>
        <v>0</v>
      </c>
      <c r="P10" s="43">
        <f>初始年财报!K7+O12-O10</f>
        <v>20</v>
      </c>
      <c r="Q10" s="35"/>
      <c r="R10" s="35"/>
      <c r="S10" s="35"/>
      <c r="T10" s="35"/>
      <c r="U10" s="35"/>
      <c r="V10" s="35"/>
      <c r="W10" s="35"/>
      <c r="X10" s="35"/>
      <c r="Y10" s="35"/>
    </row>
    <row r="11" ht="18" customHeight="1" spans="1:25">
      <c r="A11" s="161"/>
      <c r="B11" s="36"/>
      <c r="C11" s="36"/>
      <c r="D11" s="36"/>
      <c r="E11" s="31" t="s">
        <v>69</v>
      </c>
      <c r="F11" s="31"/>
      <c r="G11" s="32"/>
      <c r="H11" s="32"/>
      <c r="I11" s="32"/>
      <c r="J11" s="32"/>
      <c r="K11" s="32"/>
      <c r="L11" s="32"/>
      <c r="M11" s="32"/>
      <c r="N11" s="32"/>
      <c r="O11" s="40">
        <f t="shared" ref="O11:O12" si="1">SUM(G11:N11)</f>
        <v>0</v>
      </c>
      <c r="P11" s="44"/>
      <c r="Q11" s="35"/>
      <c r="R11" s="35"/>
      <c r="S11" s="35"/>
      <c r="T11" s="35"/>
      <c r="U11" s="35"/>
      <c r="V11" s="35"/>
      <c r="W11" s="35"/>
      <c r="X11" s="35"/>
      <c r="Y11" s="35"/>
    </row>
    <row r="12" ht="18" customHeight="1" spans="1:25">
      <c r="A12" s="162"/>
      <c r="B12" s="36"/>
      <c r="C12" s="36"/>
      <c r="D12" s="36"/>
      <c r="E12" s="31" t="s">
        <v>70</v>
      </c>
      <c r="F12" s="31"/>
      <c r="G12" s="32"/>
      <c r="H12" s="32"/>
      <c r="I12" s="32"/>
      <c r="J12" s="32"/>
      <c r="K12" s="32"/>
      <c r="L12" s="32"/>
      <c r="M12" s="32"/>
      <c r="N12" s="32"/>
      <c r="O12" s="40">
        <f t="shared" si="1"/>
        <v>0</v>
      </c>
      <c r="P12" s="46"/>
      <c r="Q12" s="35"/>
      <c r="R12" s="35"/>
      <c r="S12" s="35"/>
      <c r="T12" s="35"/>
      <c r="U12" s="35"/>
      <c r="V12" s="35"/>
      <c r="W12" s="35"/>
      <c r="X12" s="35"/>
      <c r="Y12" s="35"/>
    </row>
    <row r="13" ht="18" customHeight="1" spans="1:25">
      <c r="A13" s="41" t="s">
        <v>71</v>
      </c>
      <c r="B13" s="36" t="s">
        <v>72</v>
      </c>
      <c r="C13" s="36"/>
      <c r="D13" s="36"/>
      <c r="E13" s="31"/>
      <c r="F13" s="31"/>
      <c r="G13" s="31" t="s">
        <v>60</v>
      </c>
      <c r="H13" s="31" t="s">
        <v>61</v>
      </c>
      <c r="I13" s="31" t="s">
        <v>62</v>
      </c>
      <c r="J13" s="31" t="s">
        <v>63</v>
      </c>
      <c r="K13" s="31" t="s">
        <v>64</v>
      </c>
      <c r="L13" s="31"/>
      <c r="M13" s="31" t="s">
        <v>65</v>
      </c>
      <c r="N13" s="31"/>
      <c r="O13" s="31" t="s">
        <v>66</v>
      </c>
      <c r="P13" s="31"/>
      <c r="Q13" s="35"/>
      <c r="R13" s="35"/>
      <c r="S13" s="35"/>
      <c r="T13" s="35"/>
      <c r="U13" s="35"/>
      <c r="V13" s="35"/>
      <c r="W13" s="35"/>
      <c r="X13" s="35"/>
      <c r="Y13" s="35"/>
    </row>
    <row r="14" ht="18" customHeight="1" spans="1:25">
      <c r="A14" s="42"/>
      <c r="B14" s="36"/>
      <c r="C14" s="36"/>
      <c r="D14" s="36"/>
      <c r="E14" s="31" t="s">
        <v>48</v>
      </c>
      <c r="F14" s="31"/>
      <c r="G14" s="32"/>
      <c r="H14" s="32"/>
      <c r="I14" s="32"/>
      <c r="J14" s="32"/>
      <c r="K14" s="32"/>
      <c r="L14" s="32"/>
      <c r="M14" s="32"/>
      <c r="N14" s="32"/>
      <c r="O14" s="33">
        <f>G14+I14+K14+M14</f>
        <v>0</v>
      </c>
      <c r="P14" s="34"/>
      <c r="Q14" s="35"/>
      <c r="R14" s="35"/>
      <c r="S14" s="35"/>
      <c r="T14" s="35"/>
      <c r="U14" s="35"/>
      <c r="V14" s="35"/>
      <c r="W14" s="35"/>
      <c r="X14" s="35"/>
      <c r="Y14" s="35"/>
    </row>
    <row r="15" ht="18" customHeight="1" spans="1:25">
      <c r="A15" s="42"/>
      <c r="B15" s="36"/>
      <c r="C15" s="36"/>
      <c r="D15" s="36"/>
      <c r="E15" s="31" t="s">
        <v>49</v>
      </c>
      <c r="F15" s="31"/>
      <c r="G15" s="32"/>
      <c r="H15" s="32"/>
      <c r="I15" s="32"/>
      <c r="J15" s="32"/>
      <c r="K15" s="32"/>
      <c r="L15" s="32"/>
      <c r="M15" s="32"/>
      <c r="N15" s="32"/>
      <c r="O15" s="33">
        <f>G15+I15+K15+M15</f>
        <v>0</v>
      </c>
      <c r="P15" s="34"/>
      <c r="Q15" s="35"/>
      <c r="R15" s="35"/>
      <c r="S15" s="35"/>
      <c r="T15" s="35"/>
      <c r="U15" s="35"/>
      <c r="V15" s="35"/>
      <c r="W15" s="35"/>
      <c r="X15" s="35"/>
      <c r="Y15" s="35"/>
    </row>
    <row r="16" ht="18" customHeight="1" spans="1:25">
      <c r="A16" s="42"/>
      <c r="B16" s="36"/>
      <c r="C16" s="36"/>
      <c r="D16" s="36"/>
      <c r="E16" s="31" t="s">
        <v>50</v>
      </c>
      <c r="F16" s="31"/>
      <c r="G16" s="32"/>
      <c r="H16" s="32"/>
      <c r="I16" s="32"/>
      <c r="J16" s="32"/>
      <c r="K16" s="32"/>
      <c r="L16" s="32"/>
      <c r="M16" s="32"/>
      <c r="N16" s="32"/>
      <c r="O16" s="33">
        <f>G16+I16+K16+M16</f>
        <v>0</v>
      </c>
      <c r="P16" s="34"/>
      <c r="Q16" s="35"/>
      <c r="R16" s="35"/>
      <c r="S16" s="35"/>
      <c r="T16" s="35"/>
      <c r="U16" s="35"/>
      <c r="V16" s="35"/>
      <c r="W16" s="35"/>
      <c r="X16" s="35"/>
      <c r="Y16" s="35"/>
    </row>
    <row r="17" ht="18" customHeight="1" spans="1:25">
      <c r="A17" s="42"/>
      <c r="B17" s="36"/>
      <c r="C17" s="36"/>
      <c r="D17" s="36"/>
      <c r="E17" s="31" t="s">
        <v>51</v>
      </c>
      <c r="F17" s="31"/>
      <c r="G17" s="32"/>
      <c r="H17" s="32"/>
      <c r="I17" s="32"/>
      <c r="J17" s="32"/>
      <c r="K17" s="32"/>
      <c r="L17" s="32"/>
      <c r="M17" s="32"/>
      <c r="N17" s="32"/>
      <c r="O17" s="33">
        <f>G17+I17+K17+M17</f>
        <v>0</v>
      </c>
      <c r="P17" s="34"/>
      <c r="Q17" s="35"/>
      <c r="R17" s="35"/>
      <c r="S17" s="35"/>
      <c r="T17" s="35"/>
      <c r="U17" s="35"/>
      <c r="V17" s="35"/>
      <c r="W17" s="35"/>
      <c r="X17" s="35"/>
      <c r="Y17" s="35"/>
    </row>
    <row r="18" ht="18" customHeight="1" spans="1:25">
      <c r="A18" s="45"/>
      <c r="B18" s="36"/>
      <c r="C18" s="36"/>
      <c r="D18" s="36"/>
      <c r="E18" s="31" t="s">
        <v>73</v>
      </c>
      <c r="F18" s="31"/>
      <c r="G18" s="33">
        <f>G14+G15+G16+G17</f>
        <v>0</v>
      </c>
      <c r="H18" s="34">
        <f>SUM(H14:H17)</f>
        <v>0</v>
      </c>
      <c r="I18" s="33">
        <f>I14+I15+I16+I17</f>
        <v>0</v>
      </c>
      <c r="J18" s="34"/>
      <c r="K18" s="33">
        <f>K14+K15+K16+K17</f>
        <v>0</v>
      </c>
      <c r="L18" s="34"/>
      <c r="M18" s="33">
        <f>M14+M15+M16+M17</f>
        <v>0</v>
      </c>
      <c r="N18" s="34"/>
      <c r="O18" s="33">
        <f>G18+I18+K18+M18</f>
        <v>0</v>
      </c>
      <c r="P18" s="34"/>
      <c r="Q18" s="35"/>
      <c r="R18" s="35"/>
      <c r="S18" s="35"/>
      <c r="T18" s="35"/>
      <c r="U18" s="35"/>
      <c r="V18" s="35"/>
      <c r="W18" s="35"/>
      <c r="X18" s="35"/>
      <c r="Y18" s="35"/>
    </row>
    <row r="19" ht="21" customHeight="1" spans="1:25">
      <c r="A19" s="41" t="s">
        <v>71</v>
      </c>
      <c r="B19" s="59" t="s">
        <v>74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/>
      <c r="Q19" s="35"/>
      <c r="R19" s="35"/>
      <c r="S19" s="35"/>
      <c r="T19" s="35"/>
      <c r="U19" s="35"/>
      <c r="V19" s="35"/>
      <c r="W19" s="35"/>
      <c r="X19" s="35"/>
      <c r="Y19" s="35"/>
    </row>
    <row r="20" ht="21" customHeight="1" spans="1:25">
      <c r="A20" s="42"/>
      <c r="B20" s="62" t="s">
        <v>75</v>
      </c>
      <c r="C20" s="62"/>
      <c r="D20" s="62"/>
      <c r="E20" s="63"/>
      <c r="F20" s="64"/>
      <c r="G20" s="65" t="s">
        <v>60</v>
      </c>
      <c r="H20" s="65" t="s">
        <v>61</v>
      </c>
      <c r="I20" s="65" t="s">
        <v>62</v>
      </c>
      <c r="J20" s="65" t="s">
        <v>63</v>
      </c>
      <c r="K20" s="65" t="s">
        <v>64</v>
      </c>
      <c r="L20" s="65"/>
      <c r="M20" s="65" t="s">
        <v>65</v>
      </c>
      <c r="N20" s="65"/>
      <c r="O20" s="65" t="s">
        <v>66</v>
      </c>
      <c r="P20" s="65"/>
      <c r="Q20" s="35"/>
      <c r="R20" s="35"/>
      <c r="S20" s="35"/>
      <c r="T20" s="35"/>
      <c r="U20" s="35"/>
      <c r="V20" s="35"/>
      <c r="W20" s="35"/>
      <c r="X20" s="35"/>
      <c r="Y20" s="35"/>
    </row>
    <row r="21" ht="21" customHeight="1" spans="1:25">
      <c r="A21" s="42"/>
      <c r="B21" s="36"/>
      <c r="C21" s="36"/>
      <c r="D21" s="36"/>
      <c r="E21" s="36" t="s">
        <v>76</v>
      </c>
      <c r="F21" s="36"/>
      <c r="G21" s="32"/>
      <c r="H21" s="32"/>
      <c r="I21" s="32"/>
      <c r="J21" s="32"/>
      <c r="K21" s="32"/>
      <c r="L21" s="32"/>
      <c r="M21" s="32"/>
      <c r="N21" s="32"/>
      <c r="O21" s="40">
        <f>SUM(G21:N21)</f>
        <v>0</v>
      </c>
      <c r="P21" s="40"/>
      <c r="Q21" s="35"/>
      <c r="R21" s="35"/>
      <c r="S21" s="35"/>
      <c r="T21" s="35"/>
      <c r="U21" s="35"/>
      <c r="V21" s="35"/>
      <c r="W21" s="35"/>
      <c r="X21" s="35"/>
      <c r="Y21" s="35"/>
    </row>
    <row r="22" ht="21" customHeight="1" spans="1:25">
      <c r="A22" s="42"/>
      <c r="B22" s="36"/>
      <c r="C22" s="36"/>
      <c r="D22" s="36"/>
      <c r="E22" s="89" t="s">
        <v>77</v>
      </c>
      <c r="F22" s="89"/>
      <c r="G22" s="32"/>
      <c r="H22" s="32"/>
      <c r="I22" s="32"/>
      <c r="J22" s="32"/>
      <c r="K22" s="32"/>
      <c r="L22" s="32"/>
      <c r="M22" s="32"/>
      <c r="N22" s="32"/>
      <c r="O22" s="40">
        <f>G22+I22+K22+M22</f>
        <v>0</v>
      </c>
      <c r="P22" s="40"/>
      <c r="Q22" s="35"/>
      <c r="R22" s="35"/>
      <c r="S22" s="35"/>
      <c r="T22" s="35"/>
      <c r="U22" s="35"/>
      <c r="V22" s="35"/>
      <c r="W22" s="35"/>
      <c r="X22" s="35"/>
      <c r="Y22" s="35"/>
    </row>
    <row r="23" ht="21" customHeight="1" spans="1:25">
      <c r="A23" s="42"/>
      <c r="B23" s="36"/>
      <c r="C23" s="36"/>
      <c r="D23" s="36"/>
      <c r="E23" s="48" t="s">
        <v>78</v>
      </c>
      <c r="F23" s="50"/>
      <c r="G23" s="68"/>
      <c r="H23" s="69"/>
      <c r="I23" s="68"/>
      <c r="J23" s="69"/>
      <c r="K23" s="68"/>
      <c r="L23" s="69"/>
      <c r="M23" s="68"/>
      <c r="N23" s="69"/>
      <c r="O23" s="70">
        <f>SUM(G23:N25)</f>
        <v>0</v>
      </c>
      <c r="P23" s="71"/>
      <c r="Q23" s="35"/>
      <c r="R23" s="35"/>
      <c r="S23" s="35"/>
      <c r="T23" s="35"/>
      <c r="U23" s="35"/>
      <c r="V23" s="35"/>
      <c r="W23" s="35"/>
      <c r="X23" s="35"/>
      <c r="Y23" s="35"/>
    </row>
    <row r="24" ht="21" customHeight="1" spans="1:25">
      <c r="A24" s="42"/>
      <c r="B24" s="36"/>
      <c r="C24" s="36"/>
      <c r="D24" s="36"/>
      <c r="E24" s="52"/>
      <c r="F24" s="54"/>
      <c r="G24" s="74"/>
      <c r="H24" s="75"/>
      <c r="I24" s="74"/>
      <c r="J24" s="75"/>
      <c r="K24" s="74"/>
      <c r="L24" s="75"/>
      <c r="M24" s="74"/>
      <c r="N24" s="75"/>
      <c r="O24" s="76"/>
      <c r="P24" s="77"/>
      <c r="Q24" s="35"/>
      <c r="R24" s="35"/>
      <c r="S24" s="35"/>
      <c r="T24" s="35"/>
      <c r="U24" s="35"/>
      <c r="V24" s="35"/>
      <c r="W24" s="35"/>
      <c r="X24" s="35"/>
      <c r="Y24" s="35"/>
    </row>
    <row r="25" ht="34" customHeight="1" spans="1:25">
      <c r="A25" s="42"/>
      <c r="B25" s="36"/>
      <c r="C25" s="36"/>
      <c r="D25" s="36"/>
      <c r="E25" s="56"/>
      <c r="F25" s="58"/>
      <c r="G25" s="80"/>
      <c r="H25" s="81"/>
      <c r="I25" s="80"/>
      <c r="J25" s="81"/>
      <c r="K25" s="80"/>
      <c r="L25" s="81"/>
      <c r="M25" s="80"/>
      <c r="N25" s="81"/>
      <c r="O25" s="82"/>
      <c r="P25" s="83"/>
    </row>
    <row r="26" ht="18.75" spans="1:25">
      <c r="A26" s="42"/>
      <c r="B26" s="36"/>
      <c r="C26" s="36"/>
      <c r="D26" s="36"/>
      <c r="E26" s="84" t="s">
        <v>79</v>
      </c>
      <c r="F26" s="84"/>
      <c r="G26" s="32"/>
      <c r="H26" s="32"/>
      <c r="I26" s="32"/>
      <c r="J26" s="32"/>
      <c r="K26" s="32"/>
      <c r="L26" s="32"/>
      <c r="M26" s="32"/>
      <c r="N26" s="32"/>
      <c r="O26" s="40">
        <f t="shared" ref="O26:O28" si="2">SUM(G26:N26)</f>
        <v>0</v>
      </c>
      <c r="P26" s="40"/>
    </row>
    <row r="27" ht="24" spans="1:25">
      <c r="A27" s="42"/>
      <c r="B27" s="36"/>
      <c r="C27" s="36"/>
      <c r="D27" s="36"/>
      <c r="E27" s="85" t="s">
        <v>80</v>
      </c>
      <c r="F27" s="86" t="s">
        <v>11</v>
      </c>
      <c r="G27" s="32"/>
      <c r="H27" s="32"/>
      <c r="I27" s="32"/>
      <c r="J27" s="32"/>
      <c r="K27" s="32"/>
      <c r="L27" s="32"/>
      <c r="M27" s="32"/>
      <c r="N27" s="32"/>
      <c r="O27" s="40">
        <f t="shared" si="2"/>
        <v>0</v>
      </c>
      <c r="P27" s="40"/>
    </row>
    <row r="28" ht="18.75" spans="1:25">
      <c r="A28" s="42"/>
      <c r="B28" s="36"/>
      <c r="C28" s="36"/>
      <c r="D28" s="36"/>
      <c r="E28" s="87"/>
      <c r="F28" s="86" t="s">
        <v>13</v>
      </c>
      <c r="G28" s="32"/>
      <c r="H28" s="32"/>
      <c r="I28" s="32"/>
      <c r="J28" s="32"/>
      <c r="K28" s="32"/>
      <c r="L28" s="32"/>
      <c r="M28" s="32"/>
      <c r="N28" s="32"/>
      <c r="O28" s="40">
        <f t="shared" si="2"/>
        <v>0</v>
      </c>
      <c r="P28" s="40"/>
    </row>
    <row r="29" ht="17.45" customHeight="1" spans="1:25">
      <c r="A29" s="42"/>
      <c r="B29" s="36" t="s">
        <v>81</v>
      </c>
      <c r="C29" s="36"/>
      <c r="D29" s="36"/>
      <c r="E29" s="88" t="s">
        <v>82</v>
      </c>
      <c r="F29" s="89"/>
      <c r="G29" s="32"/>
      <c r="H29" s="32"/>
      <c r="I29" s="32"/>
      <c r="J29" s="32"/>
      <c r="K29" s="32"/>
      <c r="L29" s="32"/>
      <c r="M29" s="32"/>
      <c r="N29" s="32"/>
      <c r="O29" s="40">
        <f>SUM(G29:N30)</f>
        <v>0</v>
      </c>
      <c r="P29" s="40"/>
    </row>
    <row r="30" ht="17.45" customHeight="1" spans="1:25">
      <c r="A30" s="42"/>
      <c r="B30" s="36"/>
      <c r="C30" s="36"/>
      <c r="D30" s="36"/>
      <c r="E30" s="89"/>
      <c r="F30" s="89"/>
      <c r="G30" s="32"/>
      <c r="H30" s="32"/>
      <c r="I30" s="32"/>
      <c r="J30" s="32"/>
      <c r="K30" s="32"/>
      <c r="L30" s="32"/>
      <c r="M30" s="32"/>
      <c r="N30" s="32"/>
      <c r="O30" s="40"/>
      <c r="P30" s="40"/>
    </row>
    <row r="31" ht="17.45" customHeight="1" spans="1:25">
      <c r="A31" s="42"/>
      <c r="B31" s="89" t="s">
        <v>83</v>
      </c>
      <c r="C31" s="89"/>
      <c r="D31" s="89"/>
      <c r="E31" s="89" t="s">
        <v>84</v>
      </c>
      <c r="F31" s="36"/>
      <c r="G31" s="32"/>
      <c r="H31" s="32"/>
      <c r="I31" s="32"/>
      <c r="J31" s="32"/>
      <c r="K31" s="32"/>
      <c r="L31" s="32"/>
      <c r="M31" s="32"/>
      <c r="N31" s="32"/>
      <c r="O31" s="40">
        <f>SUM(G31:N32)</f>
        <v>0</v>
      </c>
      <c r="P31" s="40"/>
    </row>
    <row r="32" ht="17.45" customHeight="1" spans="1:25">
      <c r="A32" s="42"/>
      <c r="B32" s="89"/>
      <c r="C32" s="89"/>
      <c r="D32" s="89"/>
      <c r="E32" s="36"/>
      <c r="F32" s="36"/>
      <c r="G32" s="32"/>
      <c r="H32" s="32"/>
      <c r="I32" s="32"/>
      <c r="J32" s="32"/>
      <c r="K32" s="32"/>
      <c r="L32" s="32"/>
      <c r="M32" s="32"/>
      <c r="N32" s="32"/>
      <c r="O32" s="40"/>
      <c r="P32" s="40"/>
    </row>
    <row r="33" ht="18.75" spans="1:16">
      <c r="A33" s="42"/>
      <c r="B33" s="90" t="s">
        <v>85</v>
      </c>
      <c r="C33" s="90"/>
      <c r="D33" s="90"/>
      <c r="E33" s="90" t="s">
        <v>86</v>
      </c>
      <c r="F33" s="90"/>
      <c r="G33" s="32"/>
      <c r="H33" s="32"/>
      <c r="I33" s="32"/>
      <c r="J33" s="32"/>
      <c r="K33" s="32"/>
      <c r="L33" s="32"/>
      <c r="M33" s="32"/>
      <c r="N33" s="32"/>
      <c r="O33" s="40">
        <f t="shared" ref="O33:O40" si="3">SUM(G33:N33)</f>
        <v>0</v>
      </c>
      <c r="P33" s="40"/>
    </row>
    <row r="34" ht="18.75" spans="1:16">
      <c r="A34" s="42"/>
      <c r="B34" s="90" t="s">
        <v>87</v>
      </c>
      <c r="C34" s="90"/>
      <c r="D34" s="90"/>
      <c r="E34" s="91" t="s">
        <v>88</v>
      </c>
      <c r="F34" s="90"/>
      <c r="G34" s="32"/>
      <c r="H34" s="32"/>
      <c r="I34" s="32"/>
      <c r="J34" s="32"/>
      <c r="K34" s="32"/>
      <c r="L34" s="32"/>
      <c r="M34" s="32"/>
      <c r="N34" s="32"/>
      <c r="O34" s="40">
        <f t="shared" si="3"/>
        <v>0</v>
      </c>
      <c r="P34" s="40"/>
    </row>
    <row r="35" ht="18.75" spans="1:16">
      <c r="A35" s="42"/>
      <c r="B35" s="90" t="s">
        <v>89</v>
      </c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</row>
    <row r="36" ht="17.45" customHeight="1" spans="1:16">
      <c r="A36" s="42"/>
      <c r="B36" s="92" t="s">
        <v>90</v>
      </c>
      <c r="C36" s="93"/>
      <c r="D36" s="93"/>
      <c r="E36" s="89" t="s">
        <v>91</v>
      </c>
      <c r="F36" s="89"/>
      <c r="G36" s="32"/>
      <c r="H36" s="32"/>
      <c r="I36" s="32"/>
      <c r="J36" s="32"/>
      <c r="K36" s="32"/>
      <c r="L36" s="32"/>
      <c r="M36" s="32"/>
      <c r="N36" s="32"/>
      <c r="O36" s="40">
        <f>SUM(G36:N37)</f>
        <v>0</v>
      </c>
      <c r="P36" s="40"/>
    </row>
    <row r="37" ht="17.45" customHeight="1" spans="1:16">
      <c r="A37" s="42"/>
      <c r="B37" s="93"/>
      <c r="C37" s="93"/>
      <c r="D37" s="93"/>
      <c r="E37" s="89"/>
      <c r="F37" s="89"/>
      <c r="G37" s="32"/>
      <c r="H37" s="32"/>
      <c r="I37" s="32"/>
      <c r="J37" s="32"/>
      <c r="K37" s="32"/>
      <c r="L37" s="32"/>
      <c r="M37" s="32"/>
      <c r="N37" s="32"/>
      <c r="O37" s="40"/>
      <c r="P37" s="40"/>
    </row>
    <row r="38" ht="18.75" spans="1:16">
      <c r="A38" s="42"/>
      <c r="B38" s="36" t="s">
        <v>92</v>
      </c>
      <c r="C38" s="90"/>
      <c r="D38" s="90"/>
      <c r="E38" s="94" t="s">
        <v>93</v>
      </c>
      <c r="F38" s="95"/>
      <c r="G38" s="96"/>
      <c r="H38" s="97"/>
      <c r="I38" s="96"/>
      <c r="J38" s="97"/>
      <c r="K38" s="96"/>
      <c r="L38" s="97"/>
      <c r="M38" s="96"/>
      <c r="N38" s="97"/>
      <c r="O38" s="40">
        <f t="shared" si="3"/>
        <v>0</v>
      </c>
      <c r="P38" s="40"/>
    </row>
    <row r="39" ht="18.75" spans="1:16">
      <c r="A39" s="42"/>
      <c r="B39" s="90"/>
      <c r="C39" s="90"/>
      <c r="D39" s="90"/>
      <c r="E39" s="94" t="s">
        <v>94</v>
      </c>
      <c r="F39" s="95"/>
      <c r="G39" s="96"/>
      <c r="H39" s="97"/>
      <c r="I39" s="96"/>
      <c r="J39" s="97"/>
      <c r="K39" s="96"/>
      <c r="L39" s="97"/>
      <c r="M39" s="96"/>
      <c r="N39" s="97"/>
      <c r="O39" s="40">
        <f t="shared" si="3"/>
        <v>0</v>
      </c>
      <c r="P39" s="40"/>
    </row>
    <row r="40" ht="18.75" spans="1:16">
      <c r="A40" s="45"/>
      <c r="B40" s="93" t="s">
        <v>95</v>
      </c>
      <c r="C40" s="93"/>
      <c r="D40" s="93"/>
      <c r="E40" s="98" t="s">
        <v>96</v>
      </c>
      <c r="F40" s="98"/>
      <c r="G40" s="32"/>
      <c r="H40" s="32"/>
      <c r="I40" s="32"/>
      <c r="J40" s="32"/>
      <c r="K40" s="32"/>
      <c r="L40" s="32"/>
      <c r="M40" s="32"/>
      <c r="N40" s="32"/>
      <c r="O40" s="40">
        <f t="shared" si="3"/>
        <v>0</v>
      </c>
      <c r="P40" s="40"/>
    </row>
    <row r="41" ht="18" customHeight="1" spans="1:16">
      <c r="A41" s="163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5"/>
      <c r="O41" s="65" t="s">
        <v>66</v>
      </c>
      <c r="P41" s="65" t="s">
        <v>67</v>
      </c>
    </row>
    <row r="42" ht="18.75" spans="1:16">
      <c r="A42" s="100" t="s">
        <v>97</v>
      </c>
      <c r="B42" s="36" t="s">
        <v>98</v>
      </c>
      <c r="C42" s="36"/>
      <c r="D42" s="36"/>
      <c r="E42" s="101" t="s">
        <v>69</v>
      </c>
      <c r="F42" s="90"/>
      <c r="G42" s="102" t="s">
        <v>99</v>
      </c>
      <c r="H42" s="102"/>
      <c r="I42" s="102"/>
      <c r="J42" s="102"/>
      <c r="K42" s="102"/>
      <c r="L42" s="102"/>
      <c r="M42" s="102"/>
      <c r="N42" s="102"/>
      <c r="O42" s="103"/>
      <c r="P42" s="43">
        <f>初始年财报!K8+O44-O43</f>
        <v>0</v>
      </c>
    </row>
    <row r="43" ht="18.75" spans="1:16">
      <c r="A43" s="104"/>
      <c r="B43" s="36"/>
      <c r="C43" s="36"/>
      <c r="D43" s="36"/>
      <c r="E43" s="101" t="s">
        <v>100</v>
      </c>
      <c r="F43" s="90"/>
      <c r="G43" s="102" t="s">
        <v>101</v>
      </c>
      <c r="H43" s="102"/>
      <c r="I43" s="102"/>
      <c r="J43" s="102"/>
      <c r="K43" s="102"/>
      <c r="L43" s="102"/>
      <c r="M43" s="102"/>
      <c r="N43" s="102"/>
      <c r="O43" s="103"/>
      <c r="P43" s="44"/>
    </row>
    <row r="44" ht="18.75" spans="1:16">
      <c r="A44" s="104"/>
      <c r="B44" s="36"/>
      <c r="C44" s="36"/>
      <c r="D44" s="36"/>
      <c r="E44" s="101" t="s">
        <v>102</v>
      </c>
      <c r="F44" s="90"/>
      <c r="G44" s="102" t="s">
        <v>101</v>
      </c>
      <c r="H44" s="102"/>
      <c r="I44" s="102"/>
      <c r="J44" s="102"/>
      <c r="K44" s="102"/>
      <c r="L44" s="102"/>
      <c r="M44" s="102"/>
      <c r="N44" s="102"/>
      <c r="O44" s="103"/>
      <c r="P44" s="46"/>
    </row>
    <row r="45" ht="18.75" spans="1:16">
      <c r="A45" s="104"/>
      <c r="B45" s="105" t="s">
        <v>103</v>
      </c>
      <c r="C45" s="105"/>
      <c r="D45" s="105"/>
      <c r="E45" s="105"/>
      <c r="F45" s="106"/>
      <c r="G45" s="102" t="s">
        <v>101</v>
      </c>
      <c r="H45" s="102"/>
      <c r="I45" s="102"/>
      <c r="J45" s="102"/>
      <c r="K45" s="102"/>
      <c r="L45" s="102"/>
      <c r="M45" s="102"/>
      <c r="N45" s="102"/>
      <c r="O45" s="32"/>
      <c r="P45" s="32"/>
    </row>
    <row r="46" ht="18.75" spans="1:16">
      <c r="A46" s="104"/>
      <c r="B46" s="107" t="s">
        <v>104</v>
      </c>
      <c r="C46" s="108"/>
      <c r="D46" s="109"/>
      <c r="E46" s="110" t="s">
        <v>105</v>
      </c>
      <c r="F46" s="111"/>
      <c r="G46" s="112" t="s">
        <v>106</v>
      </c>
      <c r="H46" s="113"/>
      <c r="I46" s="113"/>
      <c r="J46" s="113"/>
      <c r="K46" s="113"/>
      <c r="L46" s="113"/>
      <c r="M46" s="113"/>
      <c r="N46" s="114"/>
      <c r="O46" s="32"/>
      <c r="P46" s="32"/>
    </row>
    <row r="47" ht="18.75" spans="1:16">
      <c r="A47" s="104"/>
      <c r="B47" s="106"/>
      <c r="C47" s="115"/>
      <c r="D47" s="116"/>
      <c r="E47" s="110" t="s">
        <v>107</v>
      </c>
      <c r="F47" s="111"/>
      <c r="G47" s="117"/>
      <c r="H47" s="118"/>
      <c r="I47" s="118"/>
      <c r="J47" s="118"/>
      <c r="K47" s="118"/>
      <c r="L47" s="118"/>
      <c r="M47" s="118"/>
      <c r="N47" s="119"/>
      <c r="O47" s="120"/>
      <c r="P47" s="121"/>
    </row>
    <row r="48" ht="18.75" spans="1:16">
      <c r="A48" s="104"/>
      <c r="B48" s="90" t="s">
        <v>108</v>
      </c>
      <c r="C48" s="90"/>
      <c r="D48" s="90"/>
      <c r="E48" s="90"/>
      <c r="F48" s="122"/>
      <c r="G48" s="123" t="s">
        <v>109</v>
      </c>
      <c r="H48" s="123"/>
      <c r="I48" s="123"/>
      <c r="J48" s="123"/>
      <c r="K48" s="123"/>
      <c r="L48" s="123"/>
      <c r="M48" s="123"/>
      <c r="N48" s="123"/>
      <c r="O48" s="32"/>
      <c r="P48" s="32"/>
    </row>
    <row r="49" ht="18.75" spans="1:17">
      <c r="A49" s="104"/>
      <c r="B49" s="107" t="s">
        <v>110</v>
      </c>
      <c r="C49" s="108"/>
      <c r="D49" s="108"/>
      <c r="E49" s="108"/>
      <c r="F49" s="108"/>
      <c r="G49" s="124"/>
      <c r="H49" s="102"/>
      <c r="I49" s="102"/>
      <c r="J49" s="102"/>
      <c r="K49" s="102"/>
      <c r="L49" s="102"/>
      <c r="M49" s="102"/>
      <c r="N49" s="102"/>
      <c r="O49" s="29">
        <f>初始年财报!G7+O27-O23</f>
        <v>3</v>
      </c>
      <c r="P49" s="29"/>
    </row>
    <row r="50" ht="18.75" spans="1:17">
      <c r="A50" s="104"/>
      <c r="B50" s="36" t="s">
        <v>111</v>
      </c>
      <c r="C50" s="36"/>
      <c r="D50" s="36"/>
      <c r="E50" s="36" t="s">
        <v>112</v>
      </c>
      <c r="F50" s="36"/>
      <c r="G50" s="36"/>
      <c r="H50" s="36"/>
      <c r="I50" s="36"/>
      <c r="J50" s="36"/>
      <c r="K50" s="36"/>
      <c r="L50" s="36"/>
      <c r="M50" s="36"/>
      <c r="N50" s="36"/>
      <c r="O50" s="29">
        <f>初始年财报!G8+O28</f>
        <v>0</v>
      </c>
      <c r="P50" s="29"/>
    </row>
    <row r="51" ht="18.75" spans="1:17">
      <c r="A51" s="104"/>
      <c r="B51" s="36"/>
      <c r="C51" s="36"/>
      <c r="D51" s="36"/>
      <c r="E51" s="36" t="s">
        <v>113</v>
      </c>
      <c r="F51" s="36"/>
      <c r="G51" s="36"/>
      <c r="H51" s="36"/>
      <c r="I51" s="36"/>
      <c r="J51" s="36"/>
      <c r="K51" s="36"/>
      <c r="L51" s="36"/>
      <c r="M51" s="36"/>
      <c r="N51" s="36"/>
      <c r="O51" s="40" t="str">
        <f>FIXED(O50/3,0,TRUE)</f>
        <v>0</v>
      </c>
      <c r="P51" s="40"/>
    </row>
    <row r="52" ht="18.75" spans="1:17">
      <c r="A52" s="104"/>
      <c r="B52" s="36"/>
      <c r="C52" s="36"/>
      <c r="D52" s="36"/>
      <c r="E52" s="36" t="s">
        <v>114</v>
      </c>
      <c r="F52" s="36"/>
      <c r="G52" s="36"/>
      <c r="H52" s="36"/>
      <c r="I52" s="36"/>
      <c r="J52" s="36"/>
      <c r="K52" s="36"/>
      <c r="L52" s="36"/>
      <c r="M52" s="36"/>
      <c r="N52" s="36"/>
      <c r="O52" s="32"/>
      <c r="P52" s="32"/>
    </row>
    <row r="53" ht="18.75" spans="1:17">
      <c r="A53" s="104"/>
      <c r="B53" s="59" t="s">
        <v>115</v>
      </c>
      <c r="C53" s="60"/>
      <c r="D53" s="61"/>
      <c r="E53" s="59" t="s">
        <v>116</v>
      </c>
      <c r="F53" s="60"/>
      <c r="G53" s="60"/>
      <c r="H53" s="60"/>
      <c r="I53" s="60"/>
      <c r="J53" s="60"/>
      <c r="K53" s="60"/>
      <c r="L53" s="60"/>
      <c r="M53" s="60"/>
      <c r="N53" s="61"/>
      <c r="O53" s="125"/>
      <c r="P53" s="126"/>
    </row>
    <row r="54" ht="18" customHeight="1" spans="1:17">
      <c r="A54" s="127" t="s">
        <v>117</v>
      </c>
      <c r="B54" s="128"/>
      <c r="C54" s="128"/>
      <c r="D54" s="128"/>
      <c r="E54" s="128"/>
      <c r="F54" s="129"/>
      <c r="G54" s="65" t="s">
        <v>60</v>
      </c>
      <c r="H54" s="65" t="s">
        <v>61</v>
      </c>
      <c r="I54" s="65" t="s">
        <v>62</v>
      </c>
      <c r="J54" s="65" t="s">
        <v>63</v>
      </c>
      <c r="K54" s="65" t="s">
        <v>64</v>
      </c>
      <c r="L54" s="65"/>
      <c r="M54" s="65" t="s">
        <v>65</v>
      </c>
      <c r="N54" s="65"/>
      <c r="O54" s="65" t="s">
        <v>66</v>
      </c>
      <c r="P54" s="65"/>
    </row>
    <row r="55" ht="18" customHeight="1" spans="1:17">
      <c r="A55" s="127"/>
      <c r="B55" s="90" t="s">
        <v>118</v>
      </c>
      <c r="C55" s="90"/>
      <c r="D55" s="90"/>
      <c r="E55" s="130" t="s">
        <v>119</v>
      </c>
      <c r="F55" s="131"/>
      <c r="G55" s="103"/>
      <c r="H55" s="103"/>
      <c r="I55" s="103"/>
      <c r="J55" s="103"/>
      <c r="K55" s="103"/>
      <c r="L55" s="103"/>
      <c r="M55" s="103"/>
      <c r="N55" s="103"/>
      <c r="O55" s="132">
        <f>SUM((G55:N56))</f>
        <v>0</v>
      </c>
      <c r="P55" s="132"/>
    </row>
    <row r="56" ht="18" customHeight="1" spans="1:17">
      <c r="A56" s="127"/>
      <c r="B56" s="90"/>
      <c r="C56" s="90"/>
      <c r="D56" s="90"/>
      <c r="E56" s="130"/>
      <c r="F56" s="131"/>
      <c r="G56" s="103"/>
      <c r="H56" s="103"/>
      <c r="I56" s="103"/>
      <c r="J56" s="103"/>
      <c r="K56" s="103"/>
      <c r="L56" s="103"/>
      <c r="M56" s="103"/>
      <c r="N56" s="103"/>
      <c r="O56" s="132"/>
      <c r="P56" s="132"/>
    </row>
    <row r="57" ht="18" customHeight="1" spans="1:17">
      <c r="A57" s="127"/>
      <c r="B57" s="90" t="s">
        <v>120</v>
      </c>
      <c r="C57" s="90"/>
      <c r="D57" s="90"/>
      <c r="E57" s="90"/>
      <c r="F57" s="122"/>
      <c r="G57" s="102" t="s">
        <v>101</v>
      </c>
      <c r="H57" s="102"/>
      <c r="I57" s="102"/>
      <c r="J57" s="102"/>
      <c r="K57" s="102"/>
      <c r="L57" s="102"/>
      <c r="M57" s="102"/>
      <c r="N57" s="102"/>
      <c r="O57" s="133"/>
      <c r="P57" s="134"/>
    </row>
    <row r="58" ht="18" customHeight="1" spans="1:17">
      <c r="A58" s="127"/>
      <c r="B58" s="90" t="s">
        <v>121</v>
      </c>
      <c r="C58" s="90"/>
      <c r="D58" s="90"/>
      <c r="E58" s="90"/>
      <c r="F58" s="122"/>
      <c r="G58" s="102" t="s">
        <v>101</v>
      </c>
      <c r="H58" s="102"/>
      <c r="I58" s="102"/>
      <c r="J58" s="102"/>
      <c r="K58" s="102"/>
      <c r="L58" s="102"/>
      <c r="M58" s="102"/>
      <c r="N58" s="102"/>
      <c r="O58" s="103"/>
      <c r="P58" s="103"/>
    </row>
    <row r="59" ht="18.75" spans="1:17">
      <c r="B59" s="30" t="s">
        <v>21</v>
      </c>
      <c r="C59" s="29">
        <f>初始年财报!$G$13+$F$59-$I$59</f>
        <v>35</v>
      </c>
      <c r="D59" s="84" t="s">
        <v>122</v>
      </c>
      <c r="E59" s="84"/>
      <c r="F59" s="33">
        <f>$O$12+$O$23+$O$36+$O$44+$O$47+$O$58</f>
        <v>0</v>
      </c>
      <c r="G59" s="84" t="s">
        <v>123</v>
      </c>
      <c r="H59" s="136"/>
      <c r="I59" s="137">
        <f>$M$1+$P$5+$O$10+$O$11+$O$18+$O$21+$O$22+$O$26+$O$29+$O$31+$O$33+$O$34+$O$40+$O$45+$O$46+$O$42+$O$43+$O$48+$O$53+$O$55+$O$57</f>
        <v>1</v>
      </c>
      <c r="J59" s="138" t="s">
        <v>124</v>
      </c>
      <c r="K59" s="166" t="e">
        <f>$O$5/$P$5</f>
        <v>#DIV/0!</v>
      </c>
      <c r="L59" s="140" t="s">
        <v>125</v>
      </c>
      <c r="M59" s="167" t="e">
        <f>$O$33/($O$38+$O$58)</f>
        <v>#DIV/0!</v>
      </c>
      <c r="N59" s="142" t="s">
        <v>126</v>
      </c>
      <c r="O59" s="168">
        <f>($O$38-$O$39--$O$11-$P$5-$M$1-$O$21-$O$22--$O$29-$O$33-$O$34-$O$42-$O$45-$O$48-$O$53-$O$57+$O$58)/($O$31*7+5)*100</f>
        <v>-20</v>
      </c>
      <c r="P59" s="169"/>
    </row>
    <row r="60" ht="21" spans="1:17">
      <c r="A60" s="144" t="s">
        <v>27</v>
      </c>
      <c r="B60" s="145"/>
      <c r="C60" s="33">
        <f>$O$11+$O$42+$O$55</f>
        <v>0</v>
      </c>
      <c r="D60" s="138" t="s">
        <v>127</v>
      </c>
      <c r="E60" s="33">
        <f>$O$46-$O$47</f>
        <v>0</v>
      </c>
      <c r="F60" s="146" t="s">
        <v>128</v>
      </c>
      <c r="G60" s="40">
        <f>$O$38-$O$36</f>
        <v>0</v>
      </c>
      <c r="H60" s="147" t="s">
        <v>129</v>
      </c>
      <c r="I60" s="148">
        <f>'0年财报'!$C$22/'0年财报'!$K$19</f>
        <v>0</v>
      </c>
      <c r="J60" s="149" t="s">
        <v>130</v>
      </c>
      <c r="K60" s="148">
        <f>'0年财报'!$C$22/'0年财报'!$G$22</f>
        <v>0</v>
      </c>
      <c r="L60" s="150"/>
      <c r="M60" s="151"/>
      <c r="N60" s="150"/>
      <c r="O60" s="152"/>
      <c r="P60" s="170"/>
      <c r="Q60" s="152"/>
    </row>
    <row r="61" ht="18.75" spans="1:17">
      <c r="A61" s="144" t="s">
        <v>30</v>
      </c>
      <c r="B61" s="145"/>
      <c r="C61" s="33">
        <f>$O$58-$O$57</f>
        <v>0</v>
      </c>
      <c r="D61" s="154" t="s">
        <v>131</v>
      </c>
      <c r="E61" s="33">
        <f>$O$27-$O$23</f>
        <v>0</v>
      </c>
      <c r="F61" s="154" t="s">
        <v>132</v>
      </c>
      <c r="G61" s="40">
        <f>$O$28-$O$51</f>
        <v>0</v>
      </c>
      <c r="H61" s="155" t="s">
        <v>133</v>
      </c>
      <c r="I61" s="148" t="e">
        <f>'0年财报'!$C$22/'0年财报'!$C$4</f>
        <v>#DIV/0!</v>
      </c>
      <c r="J61" s="147" t="s">
        <v>134</v>
      </c>
      <c r="K61" s="148" t="e">
        <f>1-'0年财报'!$C$5/'0年财报'!$C$4</f>
        <v>#DIV/0!</v>
      </c>
      <c r="L61" s="151"/>
      <c r="M61" s="151"/>
      <c r="N61" s="151"/>
      <c r="O61" s="151"/>
      <c r="P61" s="171"/>
      <c r="Q61" s="152"/>
    </row>
    <row r="62" ht="14.25" spans="1:17">
      <c r="A62" s="153"/>
      <c r="B62" s="153"/>
      <c r="C62" s="153"/>
      <c r="D62" s="156"/>
      <c r="E62" s="153"/>
      <c r="F62" s="153"/>
    </row>
    <row r="63" ht="14.25" spans="1:17">
      <c r="A63" s="153"/>
      <c r="B63" s="153"/>
      <c r="C63" s="153"/>
      <c r="D63" s="156"/>
      <c r="E63" s="153"/>
    </row>
    <row r="64" ht="14.25" spans="1:17">
      <c r="A64" s="153"/>
      <c r="B64" s="153"/>
      <c r="C64" s="153"/>
      <c r="D64" s="156"/>
      <c r="E64" s="153"/>
      <c r="F64" s="153"/>
      <c r="G64" s="153"/>
      <c r="H64" s="153"/>
      <c r="I64" s="153"/>
      <c r="J64" s="153"/>
      <c r="K64" s="153"/>
      <c r="L64" s="153"/>
      <c r="N64" s="153"/>
      <c r="O64" s="153"/>
      <c r="P64" s="153"/>
    </row>
    <row r="65" ht="14.25" spans="1:16">
      <c r="A65" s="153"/>
      <c r="B65" s="153"/>
      <c r="C65" s="153"/>
      <c r="D65" s="156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</row>
    <row r="66" ht="14.25" spans="1:16">
      <c r="A66" s="153"/>
      <c r="B66" s="153"/>
      <c r="C66" s="153"/>
      <c r="D66" s="156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</row>
    <row r="67" ht="14.25" spans="1:16">
      <c r="A67" s="153"/>
      <c r="B67" s="153"/>
      <c r="C67" s="153"/>
      <c r="D67" s="156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</row>
    <row r="68" ht="14.25" spans="1:16">
      <c r="A68" s="153"/>
      <c r="B68" s="153"/>
      <c r="C68" s="153"/>
      <c r="D68" s="156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</row>
    <row r="69" ht="14.25" spans="1:16">
      <c r="A69" s="153"/>
      <c r="B69" s="153"/>
      <c r="C69" s="153"/>
      <c r="D69" s="156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</row>
  </sheetData>
  <autoFilter xmlns:etc="http://www.wps.cn/officeDocument/2017/etCustomData" ref="A8:P61" etc:filterBottomFollowUsedRange="0">
    <extLst/>
  </autoFilter>
  <mergeCells count="266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A41:N41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D59:E59"/>
    <mergeCell ref="G59:H59"/>
    <mergeCell ref="A60:B60"/>
    <mergeCell ref="A61:B61"/>
    <mergeCell ref="A1:A8"/>
    <mergeCell ref="A9:A12"/>
    <mergeCell ref="A13:A18"/>
    <mergeCell ref="A19:A40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E31:F32"/>
    <mergeCell ref="G31:H32"/>
    <mergeCell ref="I31:J32"/>
    <mergeCell ref="K31:L32"/>
    <mergeCell ref="M31:N32"/>
    <mergeCell ref="O31:P32"/>
    <mergeCell ref="B20:D28"/>
    <mergeCell ref="G46:N47"/>
    <mergeCell ref="E36:F37"/>
    <mergeCell ref="G36:H37"/>
    <mergeCell ref="I36:J37"/>
    <mergeCell ref="K36:L37"/>
    <mergeCell ref="M36:N37"/>
    <mergeCell ref="O36:P37"/>
    <mergeCell ref="E55:F56"/>
    <mergeCell ref="G55:H56"/>
    <mergeCell ref="I55:J56"/>
    <mergeCell ref="K55:L56"/>
    <mergeCell ref="M55:N56"/>
    <mergeCell ref="O55:P56"/>
    <mergeCell ref="M3:N4"/>
    <mergeCell ref="E23:F25"/>
    <mergeCell ref="G23:H25"/>
    <mergeCell ref="I23:J25"/>
    <mergeCell ref="K23:L25"/>
    <mergeCell ref="M23:N25"/>
    <mergeCell ref="O23:P25"/>
    <mergeCell ref="E29:F30"/>
    <mergeCell ref="G29:H30"/>
    <mergeCell ref="I29:J30"/>
    <mergeCell ref="K29:L30"/>
    <mergeCell ref="M29:N30"/>
    <mergeCell ref="O29:P30"/>
    <mergeCell ref="B3:C8"/>
    <mergeCell ref="B9:D12"/>
    <mergeCell ref="B13:D18"/>
    <mergeCell ref="B31:D32"/>
    <mergeCell ref="B36:D37"/>
    <mergeCell ref="B55:D56"/>
    <mergeCell ref="B38:D39"/>
    <mergeCell ref="B50:D52"/>
    <mergeCell ref="B46:D47"/>
    <mergeCell ref="B42:D44"/>
    <mergeCell ref="B29:D30"/>
  </mergeCells>
  <pageMargins left="0.357638888888889" right="0.357638888888889" top="0.2125" bottom="0.2125" header="0.10625" footer="0.10625"/>
  <pageSetup paperSize="8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"/>
  <sheetViews>
    <sheetView zoomScale="130" zoomScaleNormal="130" topLeftCell="A7" workbookViewId="0">
      <selection activeCell="G18" sqref="G18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'0年经营'!O38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'0年经营'!O39</f>
        <v>0</v>
      </c>
      <c r="D5" s="5"/>
      <c r="E5" s="5"/>
      <c r="F5" s="9" t="s">
        <v>8</v>
      </c>
      <c r="G5" s="10">
        <f>'0年经营'!O52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初始年财报!G6+'0年经营'!E60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初始年财报!G7+'0年经营'!E61</f>
        <v>3</v>
      </c>
      <c r="H7" s="5"/>
      <c r="I7" s="5"/>
      <c r="J7" s="9" t="s">
        <v>12</v>
      </c>
      <c r="K7" s="10">
        <f>'0年经营'!P10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初始年财报!G8+'0年经营'!G61</f>
        <v>0</v>
      </c>
      <c r="H8" s="5"/>
      <c r="I8" s="5"/>
      <c r="J8" s="9" t="s">
        <v>14</v>
      </c>
      <c r="K8" s="10">
        <f>'0年经营'!P42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135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'0年经营'!O2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'0年经营'!O51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'0年经营'!C59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初始年财报!G14+'0年经营'!G60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初始年财报!K15</f>
        <v>50</v>
      </c>
      <c r="L15" s="5"/>
    </row>
    <row r="16" s="1" customFormat="1" ht="20.1" customHeight="1" spans="2:12">
      <c r="B16" s="9" t="s">
        <v>27</v>
      </c>
      <c r="C16" s="10">
        <f>'0年经营'!C60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初始年财报!K16+初始年财报!K17</f>
        <v>19</v>
      </c>
    </row>
    <row r="17" s="1" customFormat="1" ht="20.1" customHeight="1" spans="2:11">
      <c r="B17" s="9" t="s">
        <v>30</v>
      </c>
      <c r="C17" s="10">
        <f>'0年经营'!C61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4" ht="21.95" customHeight="1" spans="2:11">
      <c r="B24" s="19" t="s">
        <v>136</v>
      </c>
      <c r="C24" s="20"/>
      <c r="D24" s="21" t="s">
        <v>137</v>
      </c>
    </row>
    <row r="25" ht="21.95" customHeight="1" spans="2:11">
      <c r="B25" s="19" t="s">
        <v>138</v>
      </c>
      <c r="C25" s="22"/>
      <c r="D25" s="21"/>
    </row>
    <row r="26" ht="20.1" customHeight="1" spans="2:11">
      <c r="B26" s="19" t="s">
        <v>139</v>
      </c>
      <c r="C26" s="23"/>
      <c r="D26" s="21"/>
    </row>
  </sheetData>
  <mergeCells count="10">
    <mergeCell ref="B2:C2"/>
    <mergeCell ref="F2:K2"/>
    <mergeCell ref="F3:G3"/>
    <mergeCell ref="J3:K3"/>
    <mergeCell ref="F4:G4"/>
    <mergeCell ref="J4:K4"/>
    <mergeCell ref="F11:G11"/>
    <mergeCell ref="J13:K13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workbookViewId="0">
      <selection activeCell="M1" sqref="M1:N1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24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25" t="s">
        <v>40</v>
      </c>
      <c r="B1" s="26" t="s">
        <v>41</v>
      </c>
      <c r="C1" s="27"/>
      <c r="D1" s="28"/>
      <c r="E1" s="26" t="s">
        <v>42</v>
      </c>
      <c r="F1" s="27"/>
      <c r="G1" s="27"/>
      <c r="H1" s="27"/>
      <c r="I1" s="27"/>
      <c r="J1" s="27"/>
      <c r="K1" s="27"/>
      <c r="L1" s="28"/>
      <c r="M1" s="29" t="str">
        <f>'0年财报'!C21</f>
        <v>0</v>
      </c>
      <c r="N1" s="29"/>
      <c r="O1" s="30" t="s">
        <v>16</v>
      </c>
      <c r="P1" s="30"/>
    </row>
    <row r="2" ht="18" customHeight="1" spans="1:25">
      <c r="A2" s="25"/>
      <c r="B2" s="26" t="s">
        <v>43</v>
      </c>
      <c r="C2" s="27"/>
      <c r="D2" s="28"/>
      <c r="E2" s="26" t="s">
        <v>44</v>
      </c>
      <c r="F2" s="27"/>
      <c r="G2" s="27"/>
      <c r="H2" s="27"/>
      <c r="I2" s="27"/>
      <c r="J2" s="27"/>
      <c r="K2" s="31" t="s">
        <v>45</v>
      </c>
      <c r="L2" s="31"/>
      <c r="M2" s="32"/>
      <c r="N2" s="32"/>
      <c r="O2" s="33">
        <f>P5+O21+O22+O29+O33+O34+O40+O45+O48+O53</f>
        <v>0</v>
      </c>
      <c r="P2" s="34"/>
      <c r="Q2" s="35"/>
      <c r="R2" s="35"/>
      <c r="S2" s="35"/>
      <c r="T2" s="35"/>
      <c r="U2" s="35"/>
      <c r="V2" s="35"/>
      <c r="W2" s="35"/>
      <c r="X2" s="35"/>
      <c r="Y2" s="35"/>
    </row>
    <row r="3" ht="18" customHeight="1" spans="1:25">
      <c r="A3" s="25"/>
      <c r="B3" s="36" t="s">
        <v>46</v>
      </c>
      <c r="C3" s="36"/>
      <c r="D3" s="31" t="s">
        <v>47</v>
      </c>
      <c r="E3" s="31" t="s">
        <v>48</v>
      </c>
      <c r="F3" s="31"/>
      <c r="G3" s="31" t="s">
        <v>49</v>
      </c>
      <c r="H3" s="31"/>
      <c r="I3" s="37" t="s">
        <v>50</v>
      </c>
      <c r="J3" s="38"/>
      <c r="K3" s="31" t="s">
        <v>51</v>
      </c>
      <c r="L3" s="31"/>
      <c r="M3" s="31" t="s">
        <v>52</v>
      </c>
      <c r="N3" s="31"/>
      <c r="O3" s="39" t="s">
        <v>53</v>
      </c>
      <c r="P3" s="39" t="s">
        <v>54</v>
      </c>
      <c r="Q3" s="35"/>
      <c r="R3" s="35"/>
      <c r="S3" s="35"/>
      <c r="T3" s="35"/>
      <c r="U3" s="35"/>
      <c r="V3" s="35"/>
      <c r="W3" s="35"/>
      <c r="X3" s="35"/>
      <c r="Y3" s="35"/>
    </row>
    <row r="4" ht="18" customHeight="1" spans="1:25">
      <c r="A4" s="25"/>
      <c r="B4" s="36"/>
      <c r="C4" s="36"/>
      <c r="D4" s="31"/>
      <c r="E4" s="31" t="s">
        <v>55</v>
      </c>
      <c r="F4" s="31"/>
      <c r="G4" s="31" t="s">
        <v>55</v>
      </c>
      <c r="H4" s="31"/>
      <c r="I4" s="31" t="s">
        <v>55</v>
      </c>
      <c r="J4" s="31"/>
      <c r="K4" s="31" t="s">
        <v>55</v>
      </c>
      <c r="L4" s="31"/>
      <c r="M4" s="31"/>
      <c r="N4" s="31"/>
      <c r="O4" s="39"/>
      <c r="P4" s="39"/>
      <c r="Q4" s="35"/>
      <c r="R4" s="35"/>
      <c r="S4" s="35"/>
      <c r="T4" s="35"/>
      <c r="U4" s="35"/>
      <c r="V4" s="35"/>
      <c r="W4" s="35"/>
      <c r="X4" s="35"/>
      <c r="Y4" s="35"/>
    </row>
    <row r="5" ht="18" customHeight="1" spans="1:25">
      <c r="A5" s="25"/>
      <c r="B5" s="36"/>
      <c r="C5" s="36"/>
      <c r="D5" s="31" t="s">
        <v>56</v>
      </c>
      <c r="E5" s="32"/>
      <c r="F5" s="32"/>
      <c r="G5" s="32"/>
      <c r="H5" s="32"/>
      <c r="I5" s="32"/>
      <c r="J5" s="32"/>
      <c r="K5" s="32"/>
      <c r="L5" s="32"/>
      <c r="M5" s="40">
        <f>SUM(E5:L5)</f>
        <v>0</v>
      </c>
      <c r="N5" s="40"/>
      <c r="O5" s="40">
        <f>SUM(M5:N8)</f>
        <v>0</v>
      </c>
      <c r="P5" s="32"/>
      <c r="Q5" s="35"/>
      <c r="R5" s="35"/>
      <c r="S5" s="35"/>
      <c r="T5" s="35"/>
      <c r="U5" s="35"/>
      <c r="V5" s="35"/>
      <c r="W5" s="35"/>
      <c r="X5" s="35"/>
      <c r="Y5" s="35"/>
    </row>
    <row r="6" ht="18" customHeight="1" spans="1:25">
      <c r="A6" s="25"/>
      <c r="B6" s="36"/>
      <c r="C6" s="36"/>
      <c r="D6" s="31" t="s">
        <v>47</v>
      </c>
      <c r="E6" s="32"/>
      <c r="F6" s="32"/>
      <c r="G6" s="32"/>
      <c r="H6" s="32"/>
      <c r="I6" s="32"/>
      <c r="J6" s="32"/>
      <c r="K6" s="32"/>
      <c r="L6" s="32"/>
      <c r="M6" s="40">
        <f>SUM(E6:L6)</f>
        <v>0</v>
      </c>
      <c r="N6" s="40"/>
      <c r="O6" s="40"/>
      <c r="P6" s="32"/>
      <c r="Q6" s="35"/>
      <c r="R6" s="35"/>
      <c r="S6" s="35"/>
      <c r="T6" s="35"/>
      <c r="U6" s="35"/>
      <c r="V6" s="35"/>
      <c r="W6" s="35"/>
      <c r="X6" s="35"/>
      <c r="Y6" s="35"/>
    </row>
    <row r="7" ht="18" customHeight="1" spans="1:25">
      <c r="A7" s="25"/>
      <c r="B7" s="36"/>
      <c r="C7" s="36"/>
      <c r="D7" s="31" t="s">
        <v>57</v>
      </c>
      <c r="E7" s="32"/>
      <c r="F7" s="32"/>
      <c r="G7" s="32"/>
      <c r="H7" s="32"/>
      <c r="I7" s="32"/>
      <c r="J7" s="32"/>
      <c r="K7" s="32"/>
      <c r="L7" s="32"/>
      <c r="M7" s="40">
        <f>SUM(E7:L7)</f>
        <v>0</v>
      </c>
      <c r="N7" s="40"/>
      <c r="O7" s="40"/>
      <c r="P7" s="32"/>
      <c r="Q7" s="24"/>
      <c r="R7" s="35"/>
      <c r="S7" s="35"/>
      <c r="T7" s="35"/>
      <c r="U7" s="35"/>
      <c r="V7" s="35"/>
      <c r="W7" s="35"/>
      <c r="X7" s="35"/>
      <c r="Y7" s="35"/>
    </row>
    <row r="8" ht="18" customHeight="1" spans="1:25">
      <c r="A8" s="25"/>
      <c r="B8" s="36"/>
      <c r="C8" s="36"/>
      <c r="D8" s="31" t="s">
        <v>58</v>
      </c>
      <c r="E8" s="32"/>
      <c r="F8" s="32"/>
      <c r="G8" s="32"/>
      <c r="H8" s="32"/>
      <c r="I8" s="32"/>
      <c r="J8" s="32"/>
      <c r="K8" s="32"/>
      <c r="L8" s="32"/>
      <c r="M8" s="40">
        <f>SUM(E8:L8)</f>
        <v>0</v>
      </c>
      <c r="N8" s="40"/>
      <c r="O8" s="40"/>
      <c r="P8" s="32"/>
      <c r="Q8" s="24"/>
      <c r="R8" s="35"/>
      <c r="S8" s="35"/>
      <c r="T8" s="35"/>
      <c r="U8" s="35"/>
      <c r="V8" s="35"/>
      <c r="W8" s="35"/>
      <c r="X8" s="35"/>
      <c r="Y8" s="35"/>
    </row>
    <row r="9" ht="18" customHeight="1" spans="1:25">
      <c r="A9" s="41" t="s">
        <v>140</v>
      </c>
      <c r="B9" s="36" t="s">
        <v>59</v>
      </c>
      <c r="C9" s="36"/>
      <c r="D9" s="36"/>
      <c r="E9" s="31"/>
      <c r="F9" s="31"/>
      <c r="G9" s="31" t="s">
        <v>60</v>
      </c>
      <c r="H9" s="31" t="s">
        <v>61</v>
      </c>
      <c r="I9" s="31" t="s">
        <v>62</v>
      </c>
      <c r="J9" s="31" t="s">
        <v>63</v>
      </c>
      <c r="K9" s="31" t="s">
        <v>64</v>
      </c>
      <c r="L9" s="31"/>
      <c r="M9" s="31" t="s">
        <v>65</v>
      </c>
      <c r="N9" s="31"/>
      <c r="O9" s="31" t="s">
        <v>66</v>
      </c>
      <c r="P9" s="31" t="s">
        <v>67</v>
      </c>
      <c r="Q9" s="35"/>
      <c r="R9" s="35"/>
      <c r="S9" s="35"/>
      <c r="T9" s="35"/>
      <c r="U9" s="35"/>
      <c r="V9" s="35"/>
      <c r="W9" s="35"/>
      <c r="X9" s="35"/>
      <c r="Y9" s="35"/>
    </row>
    <row r="10" ht="18" customHeight="1" spans="1:25">
      <c r="A10" s="42"/>
      <c r="B10" s="36"/>
      <c r="C10" s="36"/>
      <c r="D10" s="36"/>
      <c r="E10" s="31" t="s">
        <v>68</v>
      </c>
      <c r="F10" s="31"/>
      <c r="G10" s="32"/>
      <c r="H10" s="32"/>
      <c r="I10" s="32"/>
      <c r="J10" s="32"/>
      <c r="K10" s="32"/>
      <c r="L10" s="32"/>
      <c r="M10" s="32"/>
      <c r="N10" s="32"/>
      <c r="O10" s="40">
        <f>SUM(G10:N10)</f>
        <v>0</v>
      </c>
      <c r="P10" s="43">
        <f>'0年财报'!K7+O12-O10</f>
        <v>20</v>
      </c>
      <c r="Q10" s="35"/>
      <c r="R10" s="35"/>
      <c r="S10" s="35"/>
      <c r="T10" s="35"/>
      <c r="U10" s="35"/>
      <c r="V10" s="35"/>
      <c r="W10" s="35"/>
      <c r="X10" s="35"/>
      <c r="Y10" s="35"/>
    </row>
    <row r="11" ht="18" customHeight="1" spans="1:25">
      <c r="A11" s="42"/>
      <c r="B11" s="36"/>
      <c r="C11" s="36"/>
      <c r="D11" s="36"/>
      <c r="E11" s="31" t="s">
        <v>69</v>
      </c>
      <c r="F11" s="31"/>
      <c r="G11" s="32"/>
      <c r="H11" s="32"/>
      <c r="I11" s="32"/>
      <c r="J11" s="32"/>
      <c r="K11" s="32"/>
      <c r="L11" s="32"/>
      <c r="M11" s="32"/>
      <c r="N11" s="32"/>
      <c r="O11" s="40">
        <f>SUM(G11:N11)</f>
        <v>0</v>
      </c>
      <c r="P11" s="44"/>
      <c r="Q11" s="35"/>
      <c r="R11" s="35"/>
      <c r="S11" s="35"/>
      <c r="T11" s="35"/>
      <c r="U11" s="35"/>
      <c r="V11" s="35"/>
      <c r="W11" s="35"/>
      <c r="X11" s="35"/>
      <c r="Y11" s="35"/>
    </row>
    <row r="12" ht="18" customHeight="1" spans="1:25">
      <c r="A12" s="45"/>
      <c r="B12" s="36"/>
      <c r="C12" s="36"/>
      <c r="D12" s="36"/>
      <c r="E12" s="31" t="s">
        <v>70</v>
      </c>
      <c r="F12" s="31"/>
      <c r="G12" s="32"/>
      <c r="H12" s="32"/>
      <c r="I12" s="32"/>
      <c r="J12" s="32"/>
      <c r="K12" s="32"/>
      <c r="L12" s="32"/>
      <c r="M12" s="32"/>
      <c r="N12" s="32"/>
      <c r="O12" s="40">
        <f>SUM(G12:N12)</f>
        <v>0</v>
      </c>
      <c r="P12" s="46"/>
      <c r="Q12" s="35"/>
      <c r="R12" s="35"/>
      <c r="S12" s="35"/>
      <c r="T12" s="35"/>
      <c r="U12" s="35"/>
      <c r="V12" s="35"/>
      <c r="W12" s="35"/>
      <c r="X12" s="35"/>
      <c r="Y12" s="35"/>
    </row>
    <row r="13" ht="18" customHeight="1" spans="1:25">
      <c r="A13" s="47" t="s">
        <v>71</v>
      </c>
      <c r="B13" s="48" t="s">
        <v>72</v>
      </c>
      <c r="C13" s="49"/>
      <c r="D13" s="50"/>
      <c r="E13" s="37"/>
      <c r="F13" s="38"/>
      <c r="G13" s="31" t="s">
        <v>60</v>
      </c>
      <c r="H13" s="31" t="s">
        <v>61</v>
      </c>
      <c r="I13" s="31" t="s">
        <v>62</v>
      </c>
      <c r="J13" s="31" t="s">
        <v>63</v>
      </c>
      <c r="K13" s="31" t="s">
        <v>64</v>
      </c>
      <c r="L13" s="31"/>
      <c r="M13" s="31" t="s">
        <v>65</v>
      </c>
      <c r="N13" s="31"/>
      <c r="O13" s="31" t="s">
        <v>66</v>
      </c>
      <c r="P13" s="31"/>
      <c r="Q13" s="35"/>
      <c r="R13" s="35"/>
      <c r="S13" s="35"/>
      <c r="T13" s="35"/>
      <c r="U13" s="35"/>
      <c r="V13" s="35"/>
      <c r="W13" s="35"/>
      <c r="X13" s="35"/>
      <c r="Y13" s="35"/>
    </row>
    <row r="14" ht="18" customHeight="1" spans="1:25">
      <c r="A14" s="51"/>
      <c r="B14" s="52"/>
      <c r="C14" s="53"/>
      <c r="D14" s="54"/>
      <c r="E14" s="37" t="s">
        <v>48</v>
      </c>
      <c r="F14" s="38"/>
      <c r="G14" s="32"/>
      <c r="H14" s="32"/>
      <c r="I14" s="32"/>
      <c r="J14" s="32"/>
      <c r="K14" s="32"/>
      <c r="L14" s="32"/>
      <c r="M14" s="32"/>
      <c r="N14" s="32"/>
      <c r="O14" s="33">
        <f>G14+I14+K14+M14</f>
        <v>0</v>
      </c>
      <c r="P14" s="34"/>
      <c r="Q14" s="35"/>
      <c r="R14" s="35"/>
      <c r="S14" s="35"/>
      <c r="T14" s="35"/>
      <c r="U14" s="35"/>
      <c r="V14" s="35"/>
      <c r="W14" s="35"/>
      <c r="X14" s="35"/>
      <c r="Y14" s="35"/>
    </row>
    <row r="15" ht="18" customHeight="1" spans="1:25">
      <c r="A15" s="51"/>
      <c r="B15" s="52"/>
      <c r="C15" s="53"/>
      <c r="D15" s="54"/>
      <c r="E15" s="37" t="s">
        <v>49</v>
      </c>
      <c r="F15" s="38"/>
      <c r="G15" s="32"/>
      <c r="H15" s="32"/>
      <c r="I15" s="32"/>
      <c r="J15" s="32"/>
      <c r="K15" s="32"/>
      <c r="L15" s="32"/>
      <c r="M15" s="32"/>
      <c r="N15" s="32"/>
      <c r="O15" s="33">
        <f>G15+I15+K15+M15</f>
        <v>0</v>
      </c>
      <c r="P15" s="34"/>
      <c r="Q15" s="35"/>
      <c r="R15" s="35"/>
      <c r="S15" s="35"/>
      <c r="T15" s="35"/>
      <c r="U15" s="35"/>
      <c r="V15" s="35"/>
      <c r="W15" s="35"/>
      <c r="X15" s="35"/>
      <c r="Y15" s="35"/>
    </row>
    <row r="16" ht="18" customHeight="1" spans="1:25">
      <c r="A16" s="51"/>
      <c r="B16" s="52"/>
      <c r="C16" s="53"/>
      <c r="D16" s="54"/>
      <c r="E16" s="37" t="s">
        <v>50</v>
      </c>
      <c r="F16" s="38"/>
      <c r="G16" s="32"/>
      <c r="H16" s="32"/>
      <c r="I16" s="32"/>
      <c r="J16" s="32"/>
      <c r="K16" s="32"/>
      <c r="L16" s="32"/>
      <c r="M16" s="32"/>
      <c r="N16" s="32"/>
      <c r="O16" s="33">
        <f>G16+I16+K16+M16</f>
        <v>0</v>
      </c>
      <c r="P16" s="34"/>
      <c r="Q16" s="35"/>
      <c r="R16" s="35"/>
      <c r="S16" s="35"/>
      <c r="T16" s="35"/>
      <c r="U16" s="35"/>
      <c r="V16" s="35"/>
      <c r="W16" s="35"/>
      <c r="X16" s="35"/>
      <c r="Y16" s="35"/>
    </row>
    <row r="17" ht="18" customHeight="1" spans="1:25">
      <c r="A17" s="51"/>
      <c r="B17" s="52"/>
      <c r="C17" s="53"/>
      <c r="D17" s="54"/>
      <c r="E17" s="37" t="s">
        <v>51</v>
      </c>
      <c r="F17" s="38"/>
      <c r="G17" s="32"/>
      <c r="H17" s="32"/>
      <c r="I17" s="32"/>
      <c r="J17" s="32"/>
      <c r="K17" s="32"/>
      <c r="L17" s="32"/>
      <c r="M17" s="32"/>
      <c r="N17" s="32"/>
      <c r="O17" s="33">
        <f>G17+I17+K17+M17</f>
        <v>0</v>
      </c>
      <c r="P17" s="34"/>
      <c r="Q17" s="35"/>
      <c r="R17" s="35"/>
      <c r="S17" s="35"/>
      <c r="T17" s="35"/>
      <c r="U17" s="35"/>
      <c r="V17" s="35"/>
      <c r="W17" s="35"/>
      <c r="X17" s="35"/>
      <c r="Y17" s="35"/>
    </row>
    <row r="18" ht="18" customHeight="1" spans="1:25">
      <c r="A18" s="55"/>
      <c r="B18" s="56"/>
      <c r="C18" s="57"/>
      <c r="D18" s="58"/>
      <c r="E18" s="37" t="s">
        <v>73</v>
      </c>
      <c r="F18" s="38"/>
      <c r="G18" s="33">
        <f>G14+G15+G16+G17</f>
        <v>0</v>
      </c>
      <c r="H18" s="34">
        <f>SUM(H14:H17)</f>
        <v>0</v>
      </c>
      <c r="I18" s="33">
        <f>I14+I15+I16+I17</f>
        <v>0</v>
      </c>
      <c r="J18" s="34"/>
      <c r="K18" s="33">
        <f>K14+K15+K16+K17</f>
        <v>0</v>
      </c>
      <c r="L18" s="34"/>
      <c r="M18" s="33">
        <f>M14+M15+M16+M17</f>
        <v>0</v>
      </c>
      <c r="N18" s="34"/>
      <c r="O18" s="33">
        <f>G18+I18+K18+M18</f>
        <v>0</v>
      </c>
      <c r="P18" s="34"/>
      <c r="Q18" s="35"/>
      <c r="R18" s="35"/>
      <c r="S18" s="35"/>
      <c r="T18" s="35"/>
      <c r="U18" s="35"/>
      <c r="V18" s="35"/>
      <c r="W18" s="35"/>
      <c r="X18" s="35"/>
      <c r="Y18" s="35"/>
    </row>
    <row r="19" ht="21" customHeight="1" spans="1:25">
      <c r="A19" s="41" t="s">
        <v>71</v>
      </c>
      <c r="B19" s="59" t="s">
        <v>74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/>
      <c r="Q19" s="35"/>
      <c r="R19" s="35"/>
      <c r="S19" s="35"/>
      <c r="T19" s="35"/>
      <c r="U19" s="35"/>
      <c r="V19" s="35"/>
      <c r="W19" s="35"/>
      <c r="X19" s="35"/>
      <c r="Y19" s="35"/>
    </row>
    <row r="20" ht="21" customHeight="1" spans="1:25">
      <c r="A20" s="42"/>
      <c r="B20" s="62" t="s">
        <v>75</v>
      </c>
      <c r="C20" s="62"/>
      <c r="D20" s="62"/>
      <c r="E20" s="63"/>
      <c r="F20" s="64"/>
      <c r="G20" s="65" t="s">
        <v>60</v>
      </c>
      <c r="H20" s="65" t="s">
        <v>61</v>
      </c>
      <c r="I20" s="65" t="s">
        <v>62</v>
      </c>
      <c r="J20" s="65" t="s">
        <v>63</v>
      </c>
      <c r="K20" s="65" t="s">
        <v>64</v>
      </c>
      <c r="L20" s="65"/>
      <c r="M20" s="65" t="s">
        <v>65</v>
      </c>
      <c r="N20" s="65"/>
      <c r="O20" s="65" t="s">
        <v>66</v>
      </c>
      <c r="P20" s="65"/>
      <c r="Q20" s="35"/>
      <c r="R20" s="35"/>
      <c r="S20" s="35"/>
      <c r="T20" s="35"/>
      <c r="U20" s="35"/>
      <c r="V20" s="35"/>
      <c r="W20" s="35"/>
      <c r="X20" s="35"/>
      <c r="Y20" s="35"/>
    </row>
    <row r="21" ht="21" customHeight="1" spans="1:25">
      <c r="A21" s="42"/>
      <c r="B21" s="36"/>
      <c r="C21" s="36"/>
      <c r="D21" s="36"/>
      <c r="E21" s="36" t="s">
        <v>76</v>
      </c>
      <c r="F21" s="36"/>
      <c r="G21" s="32"/>
      <c r="H21" s="32"/>
      <c r="I21" s="32"/>
      <c r="J21" s="32"/>
      <c r="K21" s="32"/>
      <c r="L21" s="32"/>
      <c r="M21" s="32"/>
      <c r="N21" s="32"/>
      <c r="O21" s="40">
        <f>SUM(G21:N21)</f>
        <v>0</v>
      </c>
      <c r="P21" s="40"/>
      <c r="Q21" s="35"/>
      <c r="R21" s="35"/>
      <c r="S21" s="35"/>
      <c r="T21" s="35"/>
      <c r="U21" s="35"/>
      <c r="V21" s="35"/>
      <c r="W21" s="35"/>
      <c r="X21" s="35"/>
      <c r="Y21" s="35"/>
    </row>
    <row r="22" ht="21" customHeight="1" spans="1:25">
      <c r="A22" s="42"/>
      <c r="B22" s="36"/>
      <c r="C22" s="36"/>
      <c r="D22" s="36"/>
      <c r="E22" s="36" t="s">
        <v>77</v>
      </c>
      <c r="F22" s="36"/>
      <c r="G22" s="32"/>
      <c r="H22" s="32"/>
      <c r="I22" s="32"/>
      <c r="J22" s="32"/>
      <c r="K22" s="32"/>
      <c r="L22" s="32"/>
      <c r="M22" s="32"/>
      <c r="N22" s="32"/>
      <c r="O22" s="40">
        <f>G22+I22+K22+M22</f>
        <v>0</v>
      </c>
      <c r="P22" s="40"/>
      <c r="Q22" s="35"/>
      <c r="R22" s="35"/>
      <c r="S22" s="35"/>
      <c r="T22" s="35"/>
      <c r="U22" s="35"/>
      <c r="V22" s="35"/>
      <c r="W22" s="35"/>
      <c r="X22" s="35"/>
      <c r="Y22" s="35"/>
    </row>
    <row r="23" ht="21" customHeight="1" spans="1:25">
      <c r="A23" s="42"/>
      <c r="B23" s="36"/>
      <c r="C23" s="36"/>
      <c r="D23" s="36"/>
      <c r="E23" s="48" t="s">
        <v>78</v>
      </c>
      <c r="F23" s="50"/>
      <c r="G23" s="66"/>
      <c r="H23" s="67"/>
      <c r="I23" s="68"/>
      <c r="J23" s="69"/>
      <c r="K23" s="68"/>
      <c r="L23" s="69"/>
      <c r="M23" s="68"/>
      <c r="N23" s="69"/>
      <c r="O23" s="70">
        <f>SUM(G23:N25)</f>
        <v>0</v>
      </c>
      <c r="P23" s="71"/>
      <c r="Q23" s="35"/>
      <c r="R23" s="35"/>
      <c r="S23" s="35"/>
      <c r="T23" s="35"/>
      <c r="U23" s="35"/>
      <c r="V23" s="35"/>
      <c r="W23" s="35"/>
      <c r="X23" s="35"/>
      <c r="Y23" s="35"/>
    </row>
    <row r="24" ht="21" customHeight="1" spans="1:25">
      <c r="A24" s="42"/>
      <c r="B24" s="36"/>
      <c r="C24" s="36"/>
      <c r="D24" s="36"/>
      <c r="E24" s="52"/>
      <c r="F24" s="54"/>
      <c r="G24" s="72"/>
      <c r="H24" s="73"/>
      <c r="I24" s="74"/>
      <c r="J24" s="75"/>
      <c r="K24" s="74"/>
      <c r="L24" s="75"/>
      <c r="M24" s="74"/>
      <c r="N24" s="75"/>
      <c r="O24" s="76"/>
      <c r="P24" s="77"/>
      <c r="Q24" s="35"/>
      <c r="R24" s="35"/>
      <c r="S24" s="35"/>
      <c r="T24" s="35"/>
      <c r="U24" s="35"/>
      <c r="V24" s="35"/>
      <c r="W24" s="35"/>
      <c r="X24" s="35"/>
      <c r="Y24" s="35"/>
    </row>
    <row r="25" ht="21" customHeight="1" spans="1:25">
      <c r="A25" s="42"/>
      <c r="B25" s="36"/>
      <c r="C25" s="36"/>
      <c r="D25" s="36"/>
      <c r="E25" s="56"/>
      <c r="F25" s="58"/>
      <c r="G25" s="78"/>
      <c r="H25" s="79"/>
      <c r="I25" s="80"/>
      <c r="J25" s="81"/>
      <c r="K25" s="80"/>
      <c r="L25" s="81"/>
      <c r="M25" s="80"/>
      <c r="N25" s="81"/>
      <c r="O25" s="82"/>
      <c r="P25" s="83"/>
    </row>
    <row r="26" ht="18.75" customHeight="1" spans="1:25">
      <c r="A26" s="42"/>
      <c r="B26" s="36"/>
      <c r="C26" s="36"/>
      <c r="D26" s="36"/>
      <c r="E26" s="84" t="s">
        <v>79</v>
      </c>
      <c r="F26" s="84"/>
      <c r="G26" s="32"/>
      <c r="H26" s="32"/>
      <c r="I26" s="32"/>
      <c r="J26" s="32"/>
      <c r="K26" s="32"/>
      <c r="L26" s="32"/>
      <c r="M26" s="32"/>
      <c r="N26" s="32"/>
      <c r="O26" s="40">
        <f>SUM(G26:N26)</f>
        <v>0</v>
      </c>
      <c r="P26" s="40"/>
    </row>
    <row r="27" ht="18.75" customHeight="1" spans="1:25">
      <c r="A27" s="42"/>
      <c r="B27" s="36"/>
      <c r="C27" s="36"/>
      <c r="D27" s="36"/>
      <c r="E27" s="85" t="s">
        <v>80</v>
      </c>
      <c r="F27" s="86" t="s">
        <v>11</v>
      </c>
      <c r="G27" s="32"/>
      <c r="H27" s="32"/>
      <c r="I27" s="32"/>
      <c r="J27" s="32"/>
      <c r="K27" s="32"/>
      <c r="L27" s="32"/>
      <c r="M27" s="32"/>
      <c r="N27" s="32"/>
      <c r="O27" s="40">
        <f>SUM(G27:N27)</f>
        <v>0</v>
      </c>
      <c r="P27" s="40"/>
    </row>
    <row r="28" ht="18.75" spans="1:25">
      <c r="A28" s="42"/>
      <c r="B28" s="36"/>
      <c r="C28" s="36"/>
      <c r="D28" s="36"/>
      <c r="E28" s="87"/>
      <c r="F28" s="86" t="s">
        <v>13</v>
      </c>
      <c r="G28" s="32"/>
      <c r="H28" s="32"/>
      <c r="I28" s="32"/>
      <c r="J28" s="32"/>
      <c r="K28" s="32"/>
      <c r="L28" s="32"/>
      <c r="M28" s="32"/>
      <c r="N28" s="32"/>
      <c r="O28" s="40">
        <f>SUM(G28:N28)</f>
        <v>0</v>
      </c>
      <c r="P28" s="40"/>
    </row>
    <row r="29" ht="17.45" customHeight="1" spans="1:25">
      <c r="A29" s="42"/>
      <c r="B29" s="36" t="s">
        <v>81</v>
      </c>
      <c r="C29" s="36"/>
      <c r="D29" s="36"/>
      <c r="E29" s="88" t="s">
        <v>82</v>
      </c>
      <c r="F29" s="89"/>
      <c r="G29" s="32"/>
      <c r="H29" s="32"/>
      <c r="I29" s="32"/>
      <c r="J29" s="32"/>
      <c r="K29" s="32"/>
      <c r="L29" s="32"/>
      <c r="M29" s="32"/>
      <c r="N29" s="32"/>
      <c r="O29" s="40">
        <f>SUM(G29:N30)</f>
        <v>0</v>
      </c>
      <c r="P29" s="40"/>
    </row>
    <row r="30" ht="17.45" customHeight="1" spans="1:25">
      <c r="A30" s="42"/>
      <c r="B30" s="36"/>
      <c r="C30" s="36"/>
      <c r="D30" s="36"/>
      <c r="E30" s="89"/>
      <c r="F30" s="89"/>
      <c r="G30" s="32"/>
      <c r="H30" s="32"/>
      <c r="I30" s="32"/>
      <c r="J30" s="32"/>
      <c r="K30" s="32"/>
      <c r="L30" s="32"/>
      <c r="M30" s="32"/>
      <c r="N30" s="32"/>
      <c r="O30" s="40"/>
      <c r="P30" s="40"/>
    </row>
    <row r="31" ht="17.45" customHeight="1" spans="1:25">
      <c r="A31" s="42"/>
      <c r="B31" s="89" t="s">
        <v>83</v>
      </c>
      <c r="C31" s="89"/>
      <c r="D31" s="89"/>
      <c r="E31" s="89" t="s">
        <v>84</v>
      </c>
      <c r="F31" s="36"/>
      <c r="G31" s="32"/>
      <c r="H31" s="32"/>
      <c r="I31" s="32"/>
      <c r="J31" s="32"/>
      <c r="K31" s="32"/>
      <c r="L31" s="32"/>
      <c r="M31" s="32"/>
      <c r="N31" s="32"/>
      <c r="O31" s="40">
        <f>SUM(G31:N32)</f>
        <v>0</v>
      </c>
      <c r="P31" s="40"/>
    </row>
    <row r="32" ht="17.45" customHeight="1" spans="1:25">
      <c r="A32" s="42"/>
      <c r="B32" s="89"/>
      <c r="C32" s="89"/>
      <c r="D32" s="89"/>
      <c r="E32" s="36"/>
      <c r="F32" s="36"/>
      <c r="G32" s="32"/>
      <c r="H32" s="32"/>
      <c r="I32" s="32"/>
      <c r="J32" s="32"/>
      <c r="K32" s="32"/>
      <c r="L32" s="32"/>
      <c r="M32" s="32"/>
      <c r="N32" s="32"/>
      <c r="O32" s="40"/>
      <c r="P32" s="40"/>
    </row>
    <row r="33" ht="18.75" spans="1:16">
      <c r="A33" s="42"/>
      <c r="B33" s="90" t="s">
        <v>85</v>
      </c>
      <c r="C33" s="90"/>
      <c r="D33" s="90"/>
      <c r="E33" s="90" t="s">
        <v>86</v>
      </c>
      <c r="F33" s="90"/>
      <c r="G33" s="32"/>
      <c r="H33" s="32"/>
      <c r="I33" s="32"/>
      <c r="J33" s="32"/>
      <c r="K33" s="32"/>
      <c r="L33" s="32"/>
      <c r="M33" s="32"/>
      <c r="N33" s="32"/>
      <c r="O33" s="40">
        <f>SUM(G33:N33)</f>
        <v>0</v>
      </c>
      <c r="P33" s="40"/>
    </row>
    <row r="34" ht="18.75" spans="1:16">
      <c r="A34" s="42"/>
      <c r="B34" s="90" t="s">
        <v>87</v>
      </c>
      <c r="C34" s="90"/>
      <c r="D34" s="90"/>
      <c r="E34" s="91" t="s">
        <v>88</v>
      </c>
      <c r="F34" s="90"/>
      <c r="G34" s="32"/>
      <c r="H34" s="32"/>
      <c r="I34" s="32"/>
      <c r="J34" s="32"/>
      <c r="K34" s="32"/>
      <c r="L34" s="32"/>
      <c r="M34" s="32"/>
      <c r="N34" s="32"/>
      <c r="O34" s="40">
        <f>SUM(G34:N34)</f>
        <v>0</v>
      </c>
      <c r="P34" s="40"/>
    </row>
    <row r="35" ht="18.75" spans="1:16">
      <c r="A35" s="42"/>
      <c r="B35" s="90" t="s">
        <v>89</v>
      </c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</row>
    <row r="36" ht="17.45" customHeight="1" spans="1:16">
      <c r="A36" s="42"/>
      <c r="B36" s="92" t="s">
        <v>90</v>
      </c>
      <c r="C36" s="93"/>
      <c r="D36" s="93"/>
      <c r="E36" s="89" t="s">
        <v>91</v>
      </c>
      <c r="F36" s="89"/>
      <c r="G36" s="32"/>
      <c r="H36" s="32"/>
      <c r="I36" s="32"/>
      <c r="J36" s="32"/>
      <c r="K36" s="32"/>
      <c r="L36" s="32"/>
      <c r="M36" s="32"/>
      <c r="N36" s="32"/>
      <c r="O36" s="40">
        <f>SUM(G36:N37)</f>
        <v>0</v>
      </c>
      <c r="P36" s="40"/>
    </row>
    <row r="37" ht="17.45" customHeight="1" spans="1:16">
      <c r="A37" s="42"/>
      <c r="B37" s="93"/>
      <c r="C37" s="93"/>
      <c r="D37" s="93"/>
      <c r="E37" s="89"/>
      <c r="F37" s="89"/>
      <c r="G37" s="32"/>
      <c r="H37" s="32"/>
      <c r="I37" s="32"/>
      <c r="J37" s="32"/>
      <c r="K37" s="32"/>
      <c r="L37" s="32"/>
      <c r="M37" s="32"/>
      <c r="N37" s="32"/>
      <c r="O37" s="40"/>
      <c r="P37" s="40"/>
    </row>
    <row r="38" ht="18.75" customHeight="1" spans="1:16">
      <c r="A38" s="42"/>
      <c r="B38" s="36" t="s">
        <v>92</v>
      </c>
      <c r="C38" s="90"/>
      <c r="D38" s="90"/>
      <c r="E38" s="94" t="s">
        <v>93</v>
      </c>
      <c r="F38" s="95"/>
      <c r="G38" s="96"/>
      <c r="H38" s="97"/>
      <c r="I38" s="96"/>
      <c r="J38" s="97"/>
      <c r="K38" s="96"/>
      <c r="L38" s="97"/>
      <c r="M38" s="96"/>
      <c r="N38" s="97"/>
      <c r="O38" s="40">
        <f>SUM(G38:N38)</f>
        <v>0</v>
      </c>
      <c r="P38" s="40"/>
    </row>
    <row r="39" ht="18.75" customHeight="1" spans="1:16">
      <c r="A39" s="42"/>
      <c r="B39" s="90"/>
      <c r="C39" s="90"/>
      <c r="D39" s="90"/>
      <c r="E39" s="94" t="s">
        <v>94</v>
      </c>
      <c r="F39" s="95"/>
      <c r="G39" s="96"/>
      <c r="H39" s="97"/>
      <c r="I39" s="96"/>
      <c r="J39" s="97"/>
      <c r="K39" s="96"/>
      <c r="L39" s="97"/>
      <c r="M39" s="96"/>
      <c r="N39" s="97"/>
      <c r="O39" s="40">
        <f>SUM(G39:N39)</f>
        <v>0</v>
      </c>
      <c r="P39" s="40"/>
    </row>
    <row r="40" ht="18.75" spans="1:16">
      <c r="A40" s="45"/>
      <c r="B40" s="93" t="s">
        <v>95</v>
      </c>
      <c r="C40" s="93"/>
      <c r="D40" s="93"/>
      <c r="E40" s="98" t="s">
        <v>96</v>
      </c>
      <c r="F40" s="98"/>
      <c r="G40" s="32"/>
      <c r="H40" s="32"/>
      <c r="I40" s="32"/>
      <c r="J40" s="32"/>
      <c r="K40" s="32"/>
      <c r="L40" s="32"/>
      <c r="M40" s="32"/>
      <c r="N40" s="32"/>
      <c r="O40" s="40">
        <f>SUM(G40:N40)</f>
        <v>0</v>
      </c>
      <c r="P40" s="40"/>
    </row>
    <row r="41" ht="18" customHeight="1" spans="1:16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65" t="s">
        <v>66</v>
      </c>
      <c r="P41" s="65" t="s">
        <v>67</v>
      </c>
    </row>
    <row r="42" ht="18.75" customHeight="1" spans="1:16">
      <c r="A42" s="100" t="s">
        <v>97</v>
      </c>
      <c r="B42" s="36" t="s">
        <v>98</v>
      </c>
      <c r="C42" s="36"/>
      <c r="D42" s="36"/>
      <c r="E42" s="101" t="s">
        <v>69</v>
      </c>
      <c r="F42" s="90"/>
      <c r="G42" s="102" t="s">
        <v>99</v>
      </c>
      <c r="H42" s="102"/>
      <c r="I42" s="102"/>
      <c r="J42" s="102"/>
      <c r="K42" s="102"/>
      <c r="L42" s="102"/>
      <c r="M42" s="102"/>
      <c r="N42" s="102"/>
      <c r="O42" s="103"/>
      <c r="P42" s="43">
        <f>'0年财报'!K8+O44-O43</f>
        <v>0</v>
      </c>
    </row>
    <row r="43" ht="18.75" customHeight="1" spans="1:16">
      <c r="A43" s="104"/>
      <c r="B43" s="36"/>
      <c r="C43" s="36"/>
      <c r="D43" s="36"/>
      <c r="E43" s="101" t="s">
        <v>100</v>
      </c>
      <c r="F43" s="90"/>
      <c r="G43" s="102" t="s">
        <v>101</v>
      </c>
      <c r="H43" s="102"/>
      <c r="I43" s="102"/>
      <c r="J43" s="102"/>
      <c r="K43" s="102"/>
      <c r="L43" s="102"/>
      <c r="M43" s="102"/>
      <c r="N43" s="102"/>
      <c r="O43" s="103"/>
      <c r="P43" s="44"/>
    </row>
    <row r="44" ht="18.75" customHeight="1" spans="1:16">
      <c r="A44" s="104"/>
      <c r="B44" s="36"/>
      <c r="C44" s="36"/>
      <c r="D44" s="36"/>
      <c r="E44" s="101" t="s">
        <v>102</v>
      </c>
      <c r="F44" s="90"/>
      <c r="G44" s="102" t="s">
        <v>101</v>
      </c>
      <c r="H44" s="102"/>
      <c r="I44" s="102"/>
      <c r="J44" s="102"/>
      <c r="K44" s="102"/>
      <c r="L44" s="102"/>
      <c r="M44" s="102"/>
      <c r="N44" s="102"/>
      <c r="O44" s="103"/>
      <c r="P44" s="46"/>
    </row>
    <row r="45" ht="18.75" customHeight="1" spans="1:16">
      <c r="A45" s="104"/>
      <c r="B45" s="105" t="s">
        <v>141</v>
      </c>
      <c r="C45" s="105"/>
      <c r="D45" s="105"/>
      <c r="E45" s="105"/>
      <c r="F45" s="106"/>
      <c r="G45" s="102" t="s">
        <v>101</v>
      </c>
      <c r="H45" s="102"/>
      <c r="I45" s="102"/>
      <c r="J45" s="102"/>
      <c r="K45" s="102"/>
      <c r="L45" s="102"/>
      <c r="M45" s="102"/>
      <c r="N45" s="102"/>
      <c r="O45" s="32"/>
      <c r="P45" s="32"/>
    </row>
    <row r="46" ht="18.75" customHeight="1" spans="1:16">
      <c r="A46" s="104"/>
      <c r="B46" s="107" t="s">
        <v>142</v>
      </c>
      <c r="C46" s="108"/>
      <c r="D46" s="109"/>
      <c r="E46" s="110" t="s">
        <v>105</v>
      </c>
      <c r="F46" s="111"/>
      <c r="G46" s="112" t="s">
        <v>143</v>
      </c>
      <c r="H46" s="113"/>
      <c r="I46" s="113"/>
      <c r="J46" s="113"/>
      <c r="K46" s="113"/>
      <c r="L46" s="113"/>
      <c r="M46" s="113"/>
      <c r="N46" s="114"/>
      <c r="O46" s="32"/>
      <c r="P46" s="32"/>
    </row>
    <row r="47" ht="18.75" spans="1:16">
      <c r="A47" s="104"/>
      <c r="B47" s="106"/>
      <c r="C47" s="115"/>
      <c r="D47" s="116"/>
      <c r="E47" s="110" t="s">
        <v>107</v>
      </c>
      <c r="F47" s="111"/>
      <c r="G47" s="117"/>
      <c r="H47" s="118"/>
      <c r="I47" s="118"/>
      <c r="J47" s="118"/>
      <c r="K47" s="118"/>
      <c r="L47" s="118"/>
      <c r="M47" s="118"/>
      <c r="N47" s="119"/>
      <c r="O47" s="120"/>
      <c r="P47" s="121"/>
    </row>
    <row r="48" ht="18.75" customHeight="1" spans="1:16">
      <c r="A48" s="104"/>
      <c r="B48" s="90" t="s">
        <v>144</v>
      </c>
      <c r="C48" s="90"/>
      <c r="D48" s="90"/>
      <c r="E48" s="90"/>
      <c r="F48" s="122"/>
      <c r="G48" s="123" t="s">
        <v>145</v>
      </c>
      <c r="H48" s="123"/>
      <c r="I48" s="123"/>
      <c r="J48" s="123"/>
      <c r="K48" s="123"/>
      <c r="L48" s="123"/>
      <c r="M48" s="123"/>
      <c r="N48" s="123"/>
      <c r="O48" s="32"/>
      <c r="P48" s="32"/>
    </row>
    <row r="49" ht="18.75" spans="1:16">
      <c r="A49" s="104"/>
      <c r="B49" s="107" t="s">
        <v>110</v>
      </c>
      <c r="C49" s="108"/>
      <c r="D49" s="108"/>
      <c r="E49" s="108"/>
      <c r="F49" s="108"/>
      <c r="G49" s="124"/>
      <c r="H49" s="102"/>
      <c r="I49" s="102"/>
      <c r="J49" s="102"/>
      <c r="K49" s="102"/>
      <c r="L49" s="102"/>
      <c r="M49" s="102"/>
      <c r="N49" s="102"/>
      <c r="O49" s="29">
        <f>'0年财报'!G7+O27-O23</f>
        <v>3</v>
      </c>
      <c r="P49" s="29"/>
    </row>
    <row r="50" ht="18.75" customHeight="1" spans="1:16">
      <c r="A50" s="104"/>
      <c r="B50" s="36" t="s">
        <v>111</v>
      </c>
      <c r="C50" s="36"/>
      <c r="D50" s="36"/>
      <c r="E50" s="36" t="s">
        <v>112</v>
      </c>
      <c r="F50" s="36"/>
      <c r="G50" s="36"/>
      <c r="H50" s="36"/>
      <c r="I50" s="36"/>
      <c r="J50" s="36"/>
      <c r="K50" s="36"/>
      <c r="L50" s="36"/>
      <c r="M50" s="36"/>
      <c r="N50" s="36"/>
      <c r="O50" s="29">
        <f>'0年财报'!G8+O28</f>
        <v>0</v>
      </c>
      <c r="P50" s="29"/>
    </row>
    <row r="51" ht="18.75" customHeight="1" spans="1:16">
      <c r="A51" s="104"/>
      <c r="B51" s="36"/>
      <c r="C51" s="36"/>
      <c r="D51" s="36"/>
      <c r="E51" s="36" t="s">
        <v>113</v>
      </c>
      <c r="F51" s="36"/>
      <c r="G51" s="36"/>
      <c r="H51" s="36"/>
      <c r="I51" s="36"/>
      <c r="J51" s="36"/>
      <c r="K51" s="36"/>
      <c r="L51" s="36"/>
      <c r="M51" s="36"/>
      <c r="N51" s="36"/>
      <c r="O51" s="40" t="str">
        <f>FIXED(O50/3,0,TRUE)</f>
        <v>0</v>
      </c>
      <c r="P51" s="40"/>
    </row>
    <row r="52" ht="18.75" customHeight="1" spans="1:16">
      <c r="A52" s="104"/>
      <c r="B52" s="36"/>
      <c r="C52" s="36"/>
      <c r="D52" s="36"/>
      <c r="E52" s="36" t="s">
        <v>114</v>
      </c>
      <c r="F52" s="36"/>
      <c r="G52" s="36"/>
      <c r="H52" s="36"/>
      <c r="I52" s="36"/>
      <c r="J52" s="36"/>
      <c r="K52" s="36"/>
      <c r="L52" s="36"/>
      <c r="M52" s="36"/>
      <c r="N52" s="36"/>
      <c r="O52" s="32"/>
      <c r="P52" s="32"/>
    </row>
    <row r="53" ht="18.75" customHeight="1" spans="1:16">
      <c r="A53" s="104"/>
      <c r="B53" s="59" t="s">
        <v>115</v>
      </c>
      <c r="C53" s="60"/>
      <c r="D53" s="61"/>
      <c r="E53" s="59" t="s">
        <v>116</v>
      </c>
      <c r="F53" s="60"/>
      <c r="G53" s="60"/>
      <c r="H53" s="60"/>
      <c r="I53" s="60"/>
      <c r="J53" s="60"/>
      <c r="K53" s="60"/>
      <c r="L53" s="60"/>
      <c r="M53" s="60"/>
      <c r="N53" s="61"/>
      <c r="O53" s="125"/>
      <c r="P53" s="126"/>
    </row>
    <row r="54" ht="18" customHeight="1" spans="1:16">
      <c r="A54" s="127" t="s">
        <v>117</v>
      </c>
      <c r="B54" s="128"/>
      <c r="C54" s="128"/>
      <c r="D54" s="128"/>
      <c r="E54" s="128"/>
      <c r="F54" s="129"/>
      <c r="G54" s="65" t="s">
        <v>60</v>
      </c>
      <c r="H54" s="65" t="s">
        <v>61</v>
      </c>
      <c r="I54" s="65" t="s">
        <v>62</v>
      </c>
      <c r="J54" s="65" t="s">
        <v>63</v>
      </c>
      <c r="K54" s="65" t="s">
        <v>64</v>
      </c>
      <c r="L54" s="65"/>
      <c r="M54" s="65" t="s">
        <v>65</v>
      </c>
      <c r="N54" s="65"/>
      <c r="O54" s="65" t="s">
        <v>66</v>
      </c>
      <c r="P54" s="65"/>
    </row>
    <row r="55" ht="18" customHeight="1" spans="1:16">
      <c r="A55" s="127"/>
      <c r="B55" s="90" t="s">
        <v>118</v>
      </c>
      <c r="C55" s="90"/>
      <c r="D55" s="90"/>
      <c r="E55" s="130" t="s">
        <v>119</v>
      </c>
      <c r="F55" s="131"/>
      <c r="G55" s="103"/>
      <c r="H55" s="103"/>
      <c r="I55" s="103"/>
      <c r="J55" s="103"/>
      <c r="K55" s="103"/>
      <c r="L55" s="103"/>
      <c r="M55" s="103"/>
      <c r="N55" s="103"/>
      <c r="O55" s="132">
        <f>SUM((G55:N56))</f>
        <v>0</v>
      </c>
      <c r="P55" s="132"/>
    </row>
    <row r="56" ht="18" customHeight="1" spans="1:16">
      <c r="A56" s="127"/>
      <c r="B56" s="90"/>
      <c r="C56" s="90"/>
      <c r="D56" s="90"/>
      <c r="E56" s="130"/>
      <c r="F56" s="131"/>
      <c r="G56" s="103"/>
      <c r="H56" s="103"/>
      <c r="I56" s="103"/>
      <c r="J56" s="103"/>
      <c r="K56" s="103"/>
      <c r="L56" s="103"/>
      <c r="M56" s="103"/>
      <c r="N56" s="103"/>
      <c r="O56" s="132"/>
      <c r="P56" s="132"/>
    </row>
    <row r="57" ht="18" customHeight="1" spans="1:16">
      <c r="A57" s="127"/>
      <c r="B57" s="90" t="s">
        <v>120</v>
      </c>
      <c r="C57" s="90"/>
      <c r="D57" s="90"/>
      <c r="E57" s="90"/>
      <c r="F57" s="122"/>
      <c r="G57" s="102" t="s">
        <v>101</v>
      </c>
      <c r="H57" s="102"/>
      <c r="I57" s="102"/>
      <c r="J57" s="102"/>
      <c r="K57" s="102"/>
      <c r="L57" s="102"/>
      <c r="M57" s="102"/>
      <c r="N57" s="102"/>
      <c r="O57" s="133"/>
      <c r="P57" s="134"/>
    </row>
    <row r="58" ht="18" customHeight="1" spans="1:16">
      <c r="A58" s="127"/>
      <c r="B58" s="90" t="s">
        <v>121</v>
      </c>
      <c r="C58" s="90"/>
      <c r="D58" s="90"/>
      <c r="E58" s="90"/>
      <c r="F58" s="122"/>
      <c r="G58" s="102" t="s">
        <v>101</v>
      </c>
      <c r="H58" s="102"/>
      <c r="I58" s="102"/>
      <c r="J58" s="102"/>
      <c r="K58" s="102"/>
      <c r="L58" s="102"/>
      <c r="M58" s="102"/>
      <c r="N58" s="102"/>
      <c r="O58" s="103"/>
      <c r="P58" s="103"/>
    </row>
    <row r="59" ht="18.75" customHeight="1" spans="1:16">
      <c r="B59" s="30" t="s">
        <v>21</v>
      </c>
      <c r="C59" s="135">
        <f>'0年财报'!$G$13+$F$59-$I$59</f>
        <v>35</v>
      </c>
      <c r="D59" s="84" t="s">
        <v>122</v>
      </c>
      <c r="E59" s="84"/>
      <c r="F59" s="33">
        <f>$O$12+$O$23+$O$36+$O$44+$O$47+$O$58</f>
        <v>0</v>
      </c>
      <c r="G59" s="84" t="s">
        <v>123</v>
      </c>
      <c r="H59" s="136"/>
      <c r="I59" s="137">
        <f>$M$1+$P$5+$O$10+$O$11+$O$18+$O$21+$O$22+$O$26+$O$29+$O$31+$O$33+$O$34+$O$40+$O$45+$O$46+$O$42+$O$43+$O$48+$O$53+$O$55+$O$57</f>
        <v>0</v>
      </c>
      <c r="J59" s="138" t="s">
        <v>124</v>
      </c>
      <c r="K59" s="139" t="e">
        <f>$O$5/$P$5</f>
        <v>#DIV/0!</v>
      </c>
      <c r="L59" s="140" t="s">
        <v>125</v>
      </c>
      <c r="M59" s="141" t="e">
        <f>$O$33/($O$38+$O$58)</f>
        <v>#DIV/0!</v>
      </c>
      <c r="N59" s="142" t="s">
        <v>126</v>
      </c>
      <c r="O59" s="143">
        <f>($O$38-$O$39--$O$11-$P$5-$M$1-$O$21-$O$22--$O$29-$O$33-$O$34-$O$42-$O$45-$O$48-$O$53-$O$57+$O$58)/($O$31*7+5)*100</f>
        <v>0</v>
      </c>
    </row>
    <row r="60" ht="18.75" spans="1:16">
      <c r="A60" s="144" t="s">
        <v>27</v>
      </c>
      <c r="B60" s="145"/>
      <c r="C60" s="33">
        <f>$O$11+$O$42+$O$55</f>
        <v>0</v>
      </c>
      <c r="D60" s="138" t="s">
        <v>127</v>
      </c>
      <c r="E60" s="33">
        <f>$O$46-$O$47</f>
        <v>0</v>
      </c>
      <c r="F60" s="146" t="s">
        <v>128</v>
      </c>
      <c r="G60" s="40">
        <f>$O$38-$O$36</f>
        <v>0</v>
      </c>
      <c r="H60" s="147" t="s">
        <v>146</v>
      </c>
      <c r="I60" s="148">
        <f>'1年财报'!$C$22/'1年财报'!$K$19</f>
        <v>0</v>
      </c>
      <c r="J60" s="149" t="s">
        <v>130</v>
      </c>
      <c r="K60" s="148">
        <f>'1年财报'!$C$22/'1年财报'!$G$22</f>
        <v>0</v>
      </c>
      <c r="L60" s="150"/>
      <c r="M60" s="151"/>
      <c r="N60" s="150"/>
      <c r="O60" s="152"/>
      <c r="P60" s="153"/>
    </row>
    <row r="61" ht="18.75" spans="1:16">
      <c r="A61" s="144" t="s">
        <v>30</v>
      </c>
      <c r="B61" s="145"/>
      <c r="C61" s="33">
        <f>$O$58-$O$57</f>
        <v>0</v>
      </c>
      <c r="D61" s="154" t="s">
        <v>131</v>
      </c>
      <c r="E61" s="33">
        <f>$O$27-$O$23</f>
        <v>0</v>
      </c>
      <c r="F61" s="154" t="s">
        <v>132</v>
      </c>
      <c r="G61" s="40">
        <f>$O$28-$O$51</f>
        <v>0</v>
      </c>
      <c r="H61" s="155" t="s">
        <v>133</v>
      </c>
      <c r="I61" s="148" t="e">
        <f>'1年财报'!$C$22/'1年财报'!$C$4</f>
        <v>#DIV/0!</v>
      </c>
      <c r="J61" s="147" t="s">
        <v>134</v>
      </c>
      <c r="K61" s="148" t="e">
        <f>1-'1年财报'!$C$5/'1年财报'!$C$4</f>
        <v>#DIV/0!</v>
      </c>
      <c r="L61" s="151"/>
      <c r="M61" s="151"/>
      <c r="N61" s="151"/>
      <c r="O61" s="151"/>
      <c r="P61" s="153"/>
    </row>
    <row r="62" ht="14.25" spans="1:16">
      <c r="A62" s="153"/>
      <c r="B62" s="153"/>
      <c r="C62" s="153"/>
      <c r="D62" s="156"/>
      <c r="E62" s="153"/>
      <c r="F62" s="153"/>
      <c r="G62" s="153"/>
      <c r="H62" s="157"/>
      <c r="I62" s="158"/>
      <c r="J62" s="150"/>
      <c r="K62" s="158"/>
      <c r="L62" s="153"/>
      <c r="M62" s="153"/>
      <c r="N62" s="153"/>
      <c r="O62" s="153"/>
      <c r="P62" s="153"/>
    </row>
    <row r="63" ht="14.25" spans="1:16">
      <c r="A63" s="153"/>
      <c r="B63" s="153"/>
      <c r="C63" s="153"/>
      <c r="D63" s="156"/>
      <c r="E63" s="153"/>
      <c r="F63" s="153"/>
      <c r="G63" s="153"/>
      <c r="H63" s="157"/>
      <c r="I63" s="158"/>
      <c r="J63" s="150"/>
      <c r="K63" s="158"/>
      <c r="L63" s="153"/>
      <c r="M63" s="153"/>
      <c r="N63" s="153"/>
      <c r="O63" s="153"/>
      <c r="P63" s="153"/>
    </row>
    <row r="64" ht="14.25" spans="1:16">
      <c r="A64" s="153"/>
      <c r="B64" s="153"/>
      <c r="C64" s="153"/>
      <c r="D64" s="156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</row>
    <row r="65" ht="14.25" spans="1:16">
      <c r="A65" s="153"/>
      <c r="B65" s="153"/>
      <c r="C65" s="153"/>
      <c r="D65" s="156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</row>
    <row r="66" ht="14.25" spans="1:16">
      <c r="A66" s="153"/>
      <c r="B66" s="153"/>
      <c r="C66" s="153"/>
      <c r="D66" s="156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</row>
    <row r="67" ht="14.25" spans="1:16">
      <c r="A67" s="153"/>
      <c r="B67" s="153"/>
      <c r="C67" s="153"/>
      <c r="D67" s="156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</row>
    <row r="68" ht="14.25" spans="1:16">
      <c r="A68" s="153"/>
      <c r="B68" s="153"/>
      <c r="C68" s="153"/>
      <c r="D68" s="156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</row>
    <row r="69" ht="14.25" spans="1:16">
      <c r="A69" s="153"/>
      <c r="B69" s="153"/>
      <c r="C69" s="153"/>
      <c r="D69" s="156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</row>
  </sheetData>
  <mergeCells count="265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D59:E59"/>
    <mergeCell ref="G59:H59"/>
    <mergeCell ref="A60:B60"/>
    <mergeCell ref="A61:B61"/>
    <mergeCell ref="A1:A8"/>
    <mergeCell ref="A9:A12"/>
    <mergeCell ref="A13:A18"/>
    <mergeCell ref="A19:A40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55:D56"/>
    <mergeCell ref="B31:D32"/>
    <mergeCell ref="B29:D30"/>
    <mergeCell ref="E23:F25"/>
    <mergeCell ref="G23:H25"/>
    <mergeCell ref="I23:J25"/>
    <mergeCell ref="K23:L25"/>
    <mergeCell ref="M23:N25"/>
    <mergeCell ref="O23:P25"/>
    <mergeCell ref="B50:D52"/>
    <mergeCell ref="B38:D39"/>
    <mergeCell ref="E55:F56"/>
    <mergeCell ref="G55:H56"/>
    <mergeCell ref="I55:J56"/>
    <mergeCell ref="K55:L56"/>
    <mergeCell ref="M55:N56"/>
    <mergeCell ref="O55:P56"/>
    <mergeCell ref="B46:D47"/>
    <mergeCell ref="G46:N47"/>
    <mergeCell ref="B3:C8"/>
    <mergeCell ref="M3:N4"/>
    <mergeCell ref="B9:D12"/>
    <mergeCell ref="B13:D18"/>
    <mergeCell ref="E36:F37"/>
    <mergeCell ref="G36:H37"/>
    <mergeCell ref="I36:J37"/>
    <mergeCell ref="K36:L37"/>
    <mergeCell ref="M36:N37"/>
    <mergeCell ref="O36:P37"/>
    <mergeCell ref="B36:D37"/>
    <mergeCell ref="B42:D44"/>
    <mergeCell ref="B20:D28"/>
    <mergeCell ref="E31:F32"/>
    <mergeCell ref="G31:H32"/>
    <mergeCell ref="I31:J32"/>
    <mergeCell ref="K31:L32"/>
    <mergeCell ref="M31:N32"/>
    <mergeCell ref="O31:P32"/>
    <mergeCell ref="E29:F30"/>
    <mergeCell ref="G29:H30"/>
    <mergeCell ref="I29:J30"/>
    <mergeCell ref="K29:L30"/>
    <mergeCell ref="M29:N30"/>
    <mergeCell ref="O29:P30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"/>
  <sheetViews>
    <sheetView zoomScale="130" zoomScaleNormal="130" topLeftCell="A6" workbookViewId="0">
      <selection activeCell="G14" sqref="G14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'1年经营'!O38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'1年经营'!O39</f>
        <v>0</v>
      </c>
      <c r="D5" s="5"/>
      <c r="E5" s="5"/>
      <c r="F5" s="9" t="s">
        <v>8</v>
      </c>
      <c r="G5" s="10">
        <f>'1年经营'!O52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'0年财报'!G6+'1年经营'!E60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'0年财报'!G7+'1年经营'!E61</f>
        <v>3</v>
      </c>
      <c r="H7" s="5"/>
      <c r="I7" s="5"/>
      <c r="J7" s="9" t="s">
        <v>12</v>
      </c>
      <c r="K7" s="10">
        <f>'1年经营'!P10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'0年财报'!G8+'1年经营'!G61</f>
        <v>0</v>
      </c>
      <c r="H8" s="5"/>
      <c r="I8" s="5"/>
      <c r="J8" s="9" t="s">
        <v>14</v>
      </c>
      <c r="K8" s="10">
        <f>'1年经营'!P42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135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'1年经营'!O2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'1年经营'!O51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'1年经营'!C59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'0年财报'!G14+'1年经营'!O38-'1年经营'!O36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'0年财报'!K15</f>
        <v>50</v>
      </c>
      <c r="L15" s="5"/>
    </row>
    <row r="16" s="1" customFormat="1" ht="20.1" customHeight="1" spans="2:12">
      <c r="B16" s="9" t="s">
        <v>27</v>
      </c>
      <c r="C16" s="10">
        <f>'1年经营'!C60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'0年财报'!K16+'0年财报'!K17</f>
        <v>19</v>
      </c>
    </row>
    <row r="17" s="1" customFormat="1" ht="20.1" customHeight="1" spans="2:11">
      <c r="B17" s="9" t="s">
        <v>30</v>
      </c>
      <c r="C17" s="10">
        <f>'1年经营'!C61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4" ht="21.95" customHeight="1" spans="2:11">
      <c r="B24" s="19" t="s">
        <v>136</v>
      </c>
      <c r="C24" s="20"/>
      <c r="D24" s="21" t="s">
        <v>137</v>
      </c>
    </row>
    <row r="25" ht="21.95" customHeight="1" spans="2:11">
      <c r="B25" s="19" t="s">
        <v>138</v>
      </c>
      <c r="C25" s="22"/>
      <c r="D25" s="21"/>
    </row>
    <row r="26" ht="20.1" customHeight="1" spans="2:11">
      <c r="B26" s="19" t="s">
        <v>139</v>
      </c>
      <c r="C26" s="23"/>
      <c r="D26" s="21"/>
    </row>
  </sheetData>
  <mergeCells count="10">
    <mergeCell ref="B2:C2"/>
    <mergeCell ref="F2:K2"/>
    <mergeCell ref="F3:G3"/>
    <mergeCell ref="J3:K3"/>
    <mergeCell ref="F4:G4"/>
    <mergeCell ref="J4:K4"/>
    <mergeCell ref="F11:G11"/>
    <mergeCell ref="J13:K13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tabSelected="1" zoomScale="115" zoomScaleNormal="115" workbookViewId="0">
      <selection activeCell="U8" sqref="U8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24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25" t="s">
        <v>40</v>
      </c>
      <c r="B1" s="26" t="s">
        <v>41</v>
      </c>
      <c r="C1" s="27"/>
      <c r="D1" s="28"/>
      <c r="E1" s="26" t="s">
        <v>42</v>
      </c>
      <c r="F1" s="27"/>
      <c r="G1" s="27"/>
      <c r="H1" s="27"/>
      <c r="I1" s="27"/>
      <c r="J1" s="27"/>
      <c r="K1" s="27"/>
      <c r="L1" s="28"/>
      <c r="M1" s="29" t="str">
        <f>'1年财报'!C21</f>
        <v>0</v>
      </c>
      <c r="N1" s="29"/>
      <c r="O1" s="30" t="s">
        <v>16</v>
      </c>
      <c r="P1" s="30"/>
    </row>
    <row r="2" ht="18" customHeight="1" spans="1:25">
      <c r="A2" s="25"/>
      <c r="B2" s="26" t="s">
        <v>43</v>
      </c>
      <c r="C2" s="27"/>
      <c r="D2" s="28"/>
      <c r="E2" s="26" t="s">
        <v>44</v>
      </c>
      <c r="F2" s="27"/>
      <c r="G2" s="27"/>
      <c r="H2" s="27"/>
      <c r="I2" s="27"/>
      <c r="J2" s="27"/>
      <c r="K2" s="31" t="s">
        <v>45</v>
      </c>
      <c r="L2" s="31"/>
      <c r="M2" s="32"/>
      <c r="N2" s="32"/>
      <c r="O2" s="33">
        <f>P5+O21+O22+O29+O33+O34+O40+O45+O48+O53</f>
        <v>0</v>
      </c>
      <c r="P2" s="34"/>
      <c r="Q2" s="35"/>
      <c r="R2" s="35"/>
      <c r="S2" s="35"/>
      <c r="T2" s="35"/>
      <c r="U2" s="35"/>
      <c r="V2" s="35"/>
      <c r="W2" s="35"/>
      <c r="X2" s="35"/>
      <c r="Y2" s="35"/>
    </row>
    <row r="3" ht="18" customHeight="1" spans="1:25">
      <c r="A3" s="25"/>
      <c r="B3" s="36" t="s">
        <v>46</v>
      </c>
      <c r="C3" s="36"/>
      <c r="D3" s="31" t="s">
        <v>47</v>
      </c>
      <c r="E3" s="31" t="s">
        <v>48</v>
      </c>
      <c r="F3" s="31"/>
      <c r="G3" s="31" t="s">
        <v>49</v>
      </c>
      <c r="H3" s="31"/>
      <c r="I3" s="37" t="s">
        <v>50</v>
      </c>
      <c r="J3" s="38"/>
      <c r="K3" s="31" t="s">
        <v>51</v>
      </c>
      <c r="L3" s="31"/>
      <c r="M3" s="31" t="s">
        <v>52</v>
      </c>
      <c r="N3" s="31"/>
      <c r="O3" s="39" t="s">
        <v>53</v>
      </c>
      <c r="P3" s="39" t="s">
        <v>54</v>
      </c>
      <c r="Q3" s="35"/>
      <c r="R3" s="35"/>
      <c r="S3" s="35"/>
      <c r="T3" s="35"/>
      <c r="U3" s="35"/>
      <c r="V3" s="35"/>
      <c r="W3" s="35"/>
      <c r="X3" s="35"/>
      <c r="Y3" s="35"/>
    </row>
    <row r="4" ht="18" customHeight="1" spans="1:25">
      <c r="A4" s="25"/>
      <c r="B4" s="36"/>
      <c r="C4" s="36"/>
      <c r="D4" s="31"/>
      <c r="E4" s="31" t="s">
        <v>55</v>
      </c>
      <c r="F4" s="31"/>
      <c r="G4" s="31" t="s">
        <v>55</v>
      </c>
      <c r="H4" s="31"/>
      <c r="I4" s="31" t="s">
        <v>55</v>
      </c>
      <c r="J4" s="31"/>
      <c r="K4" s="31" t="s">
        <v>55</v>
      </c>
      <c r="L4" s="31"/>
      <c r="M4" s="31"/>
      <c r="N4" s="31"/>
      <c r="O4" s="39"/>
      <c r="P4" s="39"/>
      <c r="Q4" s="35"/>
      <c r="R4" s="35"/>
      <c r="S4" s="35"/>
      <c r="T4" s="35"/>
      <c r="U4" s="35"/>
      <c r="V4" s="35"/>
      <c r="W4" s="35"/>
      <c r="X4" s="35"/>
      <c r="Y4" s="35"/>
    </row>
    <row r="5" ht="18" customHeight="1" spans="1:25">
      <c r="A5" s="25"/>
      <c r="B5" s="36"/>
      <c r="C5" s="36"/>
      <c r="D5" s="31" t="s">
        <v>56</v>
      </c>
      <c r="E5" s="32"/>
      <c r="F5" s="32"/>
      <c r="G5" s="32"/>
      <c r="H5" s="32"/>
      <c r="I5" s="32"/>
      <c r="J5" s="32"/>
      <c r="K5" s="32"/>
      <c r="L5" s="32"/>
      <c r="M5" s="40">
        <f t="shared" ref="M5:M8" si="0">SUM(E5:L5)</f>
        <v>0</v>
      </c>
      <c r="N5" s="40"/>
      <c r="O5" s="40">
        <f>SUM(M5:N8)</f>
        <v>0</v>
      </c>
      <c r="P5" s="32"/>
      <c r="Q5" s="35"/>
      <c r="R5" s="35"/>
      <c r="S5" s="35"/>
      <c r="T5" s="35"/>
      <c r="U5" s="35"/>
      <c r="V5" s="35"/>
      <c r="W5" s="35"/>
      <c r="X5" s="35"/>
      <c r="Y5" s="35"/>
    </row>
    <row r="6" ht="18" customHeight="1" spans="1:25">
      <c r="A6" s="25"/>
      <c r="B6" s="36"/>
      <c r="C6" s="36"/>
      <c r="D6" s="31" t="s">
        <v>47</v>
      </c>
      <c r="E6" s="32"/>
      <c r="F6" s="32"/>
      <c r="G6" s="32"/>
      <c r="H6" s="32"/>
      <c r="I6" s="32"/>
      <c r="J6" s="32"/>
      <c r="K6" s="32"/>
      <c r="L6" s="32"/>
      <c r="M6" s="40">
        <f t="shared" si="0"/>
        <v>0</v>
      </c>
      <c r="N6" s="40"/>
      <c r="O6" s="40"/>
      <c r="P6" s="32"/>
      <c r="Q6" s="35"/>
      <c r="R6" s="35"/>
      <c r="S6" s="35"/>
      <c r="T6" s="35"/>
      <c r="U6" s="35"/>
      <c r="V6" s="35"/>
      <c r="W6" s="35"/>
      <c r="X6" s="35"/>
      <c r="Y6" s="35"/>
    </row>
    <row r="7" ht="18" customHeight="1" spans="1:25">
      <c r="A7" s="25"/>
      <c r="B7" s="36"/>
      <c r="C7" s="36"/>
      <c r="D7" s="31" t="s">
        <v>57</v>
      </c>
      <c r="E7" s="32"/>
      <c r="F7" s="32"/>
      <c r="G7" s="32"/>
      <c r="H7" s="32"/>
      <c r="I7" s="32"/>
      <c r="J7" s="32"/>
      <c r="K7" s="32"/>
      <c r="L7" s="32"/>
      <c r="M7" s="40">
        <f t="shared" si="0"/>
        <v>0</v>
      </c>
      <c r="N7" s="40"/>
      <c r="O7" s="40"/>
      <c r="P7" s="32"/>
      <c r="Q7" s="24"/>
      <c r="R7" s="35"/>
      <c r="S7" s="35"/>
      <c r="T7" s="35"/>
      <c r="U7" s="35"/>
      <c r="V7" s="35"/>
      <c r="W7" s="35"/>
      <c r="X7" s="35"/>
      <c r="Y7" s="35"/>
    </row>
    <row r="8" ht="18" customHeight="1" spans="1:25">
      <c r="A8" s="25"/>
      <c r="B8" s="36"/>
      <c r="C8" s="36"/>
      <c r="D8" s="31" t="s">
        <v>58</v>
      </c>
      <c r="E8" s="32"/>
      <c r="F8" s="32"/>
      <c r="G8" s="32"/>
      <c r="H8" s="32"/>
      <c r="I8" s="32"/>
      <c r="J8" s="32"/>
      <c r="K8" s="32"/>
      <c r="L8" s="32"/>
      <c r="M8" s="40">
        <f t="shared" si="0"/>
        <v>0</v>
      </c>
      <c r="N8" s="40"/>
      <c r="O8" s="40"/>
      <c r="P8" s="32"/>
      <c r="Q8" s="24"/>
      <c r="R8" s="35"/>
      <c r="S8" s="35"/>
      <c r="T8" s="35"/>
      <c r="U8" s="35"/>
      <c r="V8" s="35"/>
      <c r="W8" s="35"/>
      <c r="X8" s="35"/>
      <c r="Y8" s="35"/>
    </row>
    <row r="9" ht="18" customHeight="1" spans="1:25">
      <c r="A9" s="41" t="s">
        <v>140</v>
      </c>
      <c r="B9" s="36" t="s">
        <v>59</v>
      </c>
      <c r="C9" s="36"/>
      <c r="D9" s="36"/>
      <c r="E9" s="31"/>
      <c r="F9" s="31"/>
      <c r="G9" s="31" t="s">
        <v>60</v>
      </c>
      <c r="H9" s="31" t="s">
        <v>61</v>
      </c>
      <c r="I9" s="31" t="s">
        <v>62</v>
      </c>
      <c r="J9" s="31" t="s">
        <v>63</v>
      </c>
      <c r="K9" s="31" t="s">
        <v>64</v>
      </c>
      <c r="L9" s="31"/>
      <c r="M9" s="31" t="s">
        <v>65</v>
      </c>
      <c r="N9" s="31"/>
      <c r="O9" s="31" t="s">
        <v>66</v>
      </c>
      <c r="P9" s="31" t="s">
        <v>67</v>
      </c>
      <c r="Q9" s="35"/>
      <c r="R9" s="35"/>
      <c r="S9" s="35"/>
      <c r="T9" s="35"/>
      <c r="U9" s="35"/>
      <c r="V9" s="35"/>
      <c r="W9" s="35"/>
      <c r="X9" s="35"/>
      <c r="Y9" s="35"/>
    </row>
    <row r="10" ht="18" customHeight="1" spans="1:25">
      <c r="A10" s="42"/>
      <c r="B10" s="36"/>
      <c r="C10" s="36"/>
      <c r="D10" s="36"/>
      <c r="E10" s="31" t="s">
        <v>68</v>
      </c>
      <c r="F10" s="31"/>
      <c r="G10" s="32"/>
      <c r="H10" s="32"/>
      <c r="I10" s="32"/>
      <c r="J10" s="32"/>
      <c r="K10" s="32"/>
      <c r="L10" s="32"/>
      <c r="M10" s="32"/>
      <c r="N10" s="32"/>
      <c r="O10" s="40">
        <f t="shared" ref="O10:O12" si="1">SUM(G10:N10)</f>
        <v>0</v>
      </c>
      <c r="P10" s="43">
        <f>'1年财报'!K7+O12-O10</f>
        <v>20</v>
      </c>
      <c r="Q10" s="35"/>
      <c r="R10" s="35"/>
      <c r="S10" s="35"/>
      <c r="T10" s="35"/>
      <c r="U10" s="35"/>
      <c r="V10" s="35"/>
      <c r="W10" s="35"/>
      <c r="X10" s="35"/>
      <c r="Y10" s="35"/>
    </row>
    <row r="11" ht="18" customHeight="1" spans="1:25">
      <c r="A11" s="42"/>
      <c r="B11" s="36"/>
      <c r="C11" s="36"/>
      <c r="D11" s="36"/>
      <c r="E11" s="31" t="s">
        <v>69</v>
      </c>
      <c r="F11" s="31"/>
      <c r="G11" s="32"/>
      <c r="H11" s="32"/>
      <c r="I11" s="32"/>
      <c r="J11" s="32"/>
      <c r="K11" s="32"/>
      <c r="L11" s="32"/>
      <c r="M11" s="32"/>
      <c r="N11" s="32"/>
      <c r="O11" s="40">
        <f t="shared" si="1"/>
        <v>0</v>
      </c>
      <c r="P11" s="44"/>
      <c r="Q11" s="35"/>
      <c r="R11" s="35"/>
      <c r="S11" s="35"/>
      <c r="T11" s="35"/>
      <c r="U11" s="35"/>
      <c r="V11" s="35"/>
      <c r="W11" s="35"/>
      <c r="X11" s="35"/>
      <c r="Y11" s="35"/>
    </row>
    <row r="12" ht="18" customHeight="1" spans="1:25">
      <c r="A12" s="45"/>
      <c r="B12" s="36"/>
      <c r="C12" s="36"/>
      <c r="D12" s="36"/>
      <c r="E12" s="31" t="s">
        <v>70</v>
      </c>
      <c r="F12" s="31"/>
      <c r="G12" s="32"/>
      <c r="H12" s="32"/>
      <c r="I12" s="32"/>
      <c r="J12" s="32"/>
      <c r="K12" s="32"/>
      <c r="L12" s="32"/>
      <c r="M12" s="32"/>
      <c r="N12" s="32"/>
      <c r="O12" s="40">
        <f t="shared" si="1"/>
        <v>0</v>
      </c>
      <c r="P12" s="46"/>
      <c r="Q12" s="35"/>
      <c r="R12" s="35"/>
      <c r="S12" s="35"/>
      <c r="T12" s="35"/>
      <c r="U12" s="35"/>
      <c r="V12" s="35"/>
      <c r="W12" s="35"/>
      <c r="X12" s="35"/>
      <c r="Y12" s="35"/>
    </row>
    <row r="13" ht="18" customHeight="1" spans="1:25">
      <c r="A13" s="47" t="s">
        <v>71</v>
      </c>
      <c r="B13" s="48" t="s">
        <v>72</v>
      </c>
      <c r="C13" s="49"/>
      <c r="D13" s="50"/>
      <c r="E13" s="37"/>
      <c r="F13" s="38"/>
      <c r="G13" s="31" t="s">
        <v>60</v>
      </c>
      <c r="H13" s="31" t="s">
        <v>61</v>
      </c>
      <c r="I13" s="31" t="s">
        <v>62</v>
      </c>
      <c r="J13" s="31" t="s">
        <v>63</v>
      </c>
      <c r="K13" s="31" t="s">
        <v>64</v>
      </c>
      <c r="L13" s="31"/>
      <c r="M13" s="31" t="s">
        <v>65</v>
      </c>
      <c r="N13" s="31"/>
      <c r="O13" s="31" t="s">
        <v>66</v>
      </c>
      <c r="P13" s="31"/>
      <c r="Q13" s="35"/>
      <c r="R13" s="35"/>
      <c r="S13" s="35"/>
      <c r="T13" s="35"/>
      <c r="U13" s="35"/>
      <c r="V13" s="35"/>
      <c r="W13" s="35"/>
      <c r="X13" s="35"/>
      <c r="Y13" s="35"/>
    </row>
    <row r="14" ht="18" customHeight="1" spans="1:25">
      <c r="A14" s="51"/>
      <c r="B14" s="52"/>
      <c r="C14" s="53"/>
      <c r="D14" s="54"/>
      <c r="E14" s="37" t="s">
        <v>48</v>
      </c>
      <c r="F14" s="38"/>
      <c r="G14" s="32"/>
      <c r="H14" s="32"/>
      <c r="I14" s="32"/>
      <c r="J14" s="32"/>
      <c r="K14" s="32"/>
      <c r="L14" s="32"/>
      <c r="M14" s="32"/>
      <c r="N14" s="32"/>
      <c r="O14" s="33">
        <f t="shared" ref="O14:O18" si="2">G14+I14+K14+M14</f>
        <v>0</v>
      </c>
      <c r="P14" s="34"/>
      <c r="Q14" s="35"/>
      <c r="R14" s="35"/>
      <c r="S14" s="35"/>
      <c r="T14" s="35"/>
      <c r="U14" s="35"/>
      <c r="V14" s="35"/>
      <c r="W14" s="35"/>
      <c r="X14" s="35"/>
      <c r="Y14" s="35"/>
    </row>
    <row r="15" ht="18" customHeight="1" spans="1:25">
      <c r="A15" s="51"/>
      <c r="B15" s="52"/>
      <c r="C15" s="53"/>
      <c r="D15" s="54"/>
      <c r="E15" s="37" t="s">
        <v>49</v>
      </c>
      <c r="F15" s="38"/>
      <c r="G15" s="32"/>
      <c r="H15" s="32"/>
      <c r="I15" s="32"/>
      <c r="J15" s="32"/>
      <c r="K15" s="32"/>
      <c r="L15" s="32"/>
      <c r="M15" s="32"/>
      <c r="N15" s="32"/>
      <c r="O15" s="33">
        <f t="shared" si="2"/>
        <v>0</v>
      </c>
      <c r="P15" s="34"/>
      <c r="Q15" s="35"/>
      <c r="R15" s="35"/>
      <c r="S15" s="35"/>
      <c r="T15" s="35"/>
      <c r="U15" s="35"/>
      <c r="V15" s="35"/>
      <c r="W15" s="35"/>
      <c r="X15" s="35"/>
      <c r="Y15" s="35"/>
    </row>
    <row r="16" ht="18" customHeight="1" spans="1:25">
      <c r="A16" s="51"/>
      <c r="B16" s="52"/>
      <c r="C16" s="53"/>
      <c r="D16" s="54"/>
      <c r="E16" s="37" t="s">
        <v>50</v>
      </c>
      <c r="F16" s="38"/>
      <c r="G16" s="32"/>
      <c r="H16" s="32"/>
      <c r="I16" s="32"/>
      <c r="J16" s="32"/>
      <c r="K16" s="32"/>
      <c r="L16" s="32"/>
      <c r="M16" s="32"/>
      <c r="N16" s="32"/>
      <c r="O16" s="33">
        <f t="shared" si="2"/>
        <v>0</v>
      </c>
      <c r="P16" s="34"/>
      <c r="Q16" s="35"/>
      <c r="R16" s="35"/>
      <c r="S16" s="35"/>
      <c r="T16" s="35"/>
      <c r="U16" s="35"/>
      <c r="V16" s="35"/>
      <c r="W16" s="35"/>
      <c r="X16" s="35"/>
      <c r="Y16" s="35"/>
    </row>
    <row r="17" ht="18" customHeight="1" spans="1:25">
      <c r="A17" s="51"/>
      <c r="B17" s="52"/>
      <c r="C17" s="53"/>
      <c r="D17" s="54"/>
      <c r="E17" s="37" t="s">
        <v>51</v>
      </c>
      <c r="F17" s="38"/>
      <c r="G17" s="32"/>
      <c r="H17" s="32"/>
      <c r="I17" s="32"/>
      <c r="J17" s="32"/>
      <c r="K17" s="32"/>
      <c r="L17" s="32"/>
      <c r="M17" s="32"/>
      <c r="N17" s="32"/>
      <c r="O17" s="33">
        <f t="shared" si="2"/>
        <v>0</v>
      </c>
      <c r="P17" s="34"/>
      <c r="Q17" s="35"/>
      <c r="R17" s="35"/>
      <c r="S17" s="35"/>
      <c r="T17" s="35"/>
      <c r="U17" s="35"/>
      <c r="V17" s="35"/>
      <c r="W17" s="35"/>
      <c r="X17" s="35"/>
      <c r="Y17" s="35"/>
    </row>
    <row r="18" ht="18" customHeight="1" spans="1:25">
      <c r="A18" s="55"/>
      <c r="B18" s="56"/>
      <c r="C18" s="57"/>
      <c r="D18" s="58"/>
      <c r="E18" s="37" t="s">
        <v>73</v>
      </c>
      <c r="F18" s="38"/>
      <c r="G18" s="33">
        <f t="shared" ref="G18:K18" si="3">G14+G15+G16+G17</f>
        <v>0</v>
      </c>
      <c r="H18" s="34">
        <f>SUM(H14:H17)</f>
        <v>0</v>
      </c>
      <c r="I18" s="33">
        <f t="shared" si="3"/>
        <v>0</v>
      </c>
      <c r="J18" s="34"/>
      <c r="K18" s="33">
        <f t="shared" si="3"/>
        <v>0</v>
      </c>
      <c r="L18" s="34"/>
      <c r="M18" s="33">
        <f>M14+M15+M16+M17</f>
        <v>0</v>
      </c>
      <c r="N18" s="34"/>
      <c r="O18" s="33">
        <f t="shared" si="2"/>
        <v>0</v>
      </c>
      <c r="P18" s="34"/>
      <c r="Q18" s="35"/>
      <c r="R18" s="35"/>
      <c r="S18" s="35"/>
      <c r="T18" s="35"/>
      <c r="U18" s="35"/>
      <c r="V18" s="35"/>
      <c r="W18" s="35"/>
      <c r="X18" s="35"/>
      <c r="Y18" s="35"/>
    </row>
    <row r="19" ht="21" customHeight="1" spans="1:25">
      <c r="A19" s="41" t="s">
        <v>71</v>
      </c>
      <c r="B19" s="59" t="s">
        <v>74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/>
      <c r="Q19" s="35"/>
      <c r="R19" s="35"/>
      <c r="S19" s="35"/>
      <c r="T19" s="35"/>
      <c r="U19" s="35"/>
      <c r="V19" s="35"/>
      <c r="W19" s="35"/>
      <c r="X19" s="35"/>
      <c r="Y19" s="35"/>
    </row>
    <row r="20" ht="21" customHeight="1" spans="1:25">
      <c r="A20" s="42"/>
      <c r="B20" s="62" t="s">
        <v>75</v>
      </c>
      <c r="C20" s="62"/>
      <c r="D20" s="62"/>
      <c r="E20" s="63"/>
      <c r="F20" s="64"/>
      <c r="G20" s="65" t="s">
        <v>60</v>
      </c>
      <c r="H20" s="65" t="s">
        <v>61</v>
      </c>
      <c r="I20" s="65" t="s">
        <v>62</v>
      </c>
      <c r="J20" s="65" t="s">
        <v>63</v>
      </c>
      <c r="K20" s="65" t="s">
        <v>64</v>
      </c>
      <c r="L20" s="65"/>
      <c r="M20" s="65" t="s">
        <v>65</v>
      </c>
      <c r="N20" s="65"/>
      <c r="O20" s="65" t="s">
        <v>66</v>
      </c>
      <c r="P20" s="65"/>
      <c r="Q20" s="35"/>
      <c r="R20" s="35"/>
      <c r="S20" s="35"/>
      <c r="T20" s="35"/>
      <c r="U20" s="35"/>
      <c r="V20" s="35"/>
      <c r="W20" s="35"/>
      <c r="X20" s="35"/>
      <c r="Y20" s="35"/>
    </row>
    <row r="21" ht="21" customHeight="1" spans="1:25">
      <c r="A21" s="42"/>
      <c r="B21" s="36"/>
      <c r="C21" s="36"/>
      <c r="D21" s="36"/>
      <c r="E21" s="36" t="s">
        <v>76</v>
      </c>
      <c r="F21" s="36"/>
      <c r="G21" s="32"/>
      <c r="H21" s="32"/>
      <c r="I21" s="32"/>
      <c r="J21" s="32"/>
      <c r="K21" s="32"/>
      <c r="L21" s="32"/>
      <c r="M21" s="32"/>
      <c r="N21" s="32"/>
      <c r="O21" s="40">
        <f>SUM(G21:N21)</f>
        <v>0</v>
      </c>
      <c r="P21" s="40"/>
      <c r="Q21" s="35"/>
      <c r="R21" s="35"/>
      <c r="S21" s="35"/>
      <c r="T21" s="35"/>
      <c r="U21" s="35"/>
      <c r="V21" s="35"/>
      <c r="W21" s="35"/>
      <c r="X21" s="35"/>
      <c r="Y21" s="35"/>
    </row>
    <row r="22" ht="21" customHeight="1" spans="1:25">
      <c r="A22" s="42"/>
      <c r="B22" s="36"/>
      <c r="C22" s="36"/>
      <c r="D22" s="36"/>
      <c r="E22" s="36" t="s">
        <v>77</v>
      </c>
      <c r="F22" s="36"/>
      <c r="G22" s="32"/>
      <c r="H22" s="32"/>
      <c r="I22" s="32"/>
      <c r="J22" s="32"/>
      <c r="K22" s="32"/>
      <c r="L22" s="32"/>
      <c r="M22" s="32"/>
      <c r="N22" s="32"/>
      <c r="O22" s="40">
        <f>G22+I22+K22+M22</f>
        <v>0</v>
      </c>
      <c r="P22" s="40"/>
      <c r="Q22" s="35"/>
      <c r="R22" s="35"/>
      <c r="S22" s="35"/>
      <c r="T22" s="35"/>
      <c r="U22" s="35"/>
      <c r="V22" s="35"/>
      <c r="W22" s="35"/>
      <c r="X22" s="35"/>
      <c r="Y22" s="35"/>
    </row>
    <row r="23" ht="21" customHeight="1" spans="1:25">
      <c r="A23" s="42"/>
      <c r="B23" s="36"/>
      <c r="C23" s="36"/>
      <c r="D23" s="36"/>
      <c r="E23" s="48" t="s">
        <v>78</v>
      </c>
      <c r="F23" s="50"/>
      <c r="G23" s="66"/>
      <c r="H23" s="67"/>
      <c r="I23" s="68"/>
      <c r="J23" s="69"/>
      <c r="K23" s="68"/>
      <c r="L23" s="69"/>
      <c r="M23" s="68"/>
      <c r="N23" s="69"/>
      <c r="O23" s="70">
        <f>SUM(G23:N25)</f>
        <v>0</v>
      </c>
      <c r="P23" s="71"/>
      <c r="Q23" s="35"/>
      <c r="R23" s="35"/>
      <c r="S23" s="35"/>
      <c r="T23" s="35"/>
      <c r="U23" s="35"/>
      <c r="V23" s="35"/>
      <c r="W23" s="35"/>
      <c r="X23" s="35"/>
      <c r="Y23" s="35"/>
    </row>
    <row r="24" ht="21" customHeight="1" spans="1:25">
      <c r="A24" s="42"/>
      <c r="B24" s="36"/>
      <c r="C24" s="36"/>
      <c r="D24" s="36"/>
      <c r="E24" s="52"/>
      <c r="F24" s="54"/>
      <c r="G24" s="72"/>
      <c r="H24" s="73"/>
      <c r="I24" s="74"/>
      <c r="J24" s="75"/>
      <c r="K24" s="74"/>
      <c r="L24" s="75"/>
      <c r="M24" s="74"/>
      <c r="N24" s="75"/>
      <c r="O24" s="76"/>
      <c r="P24" s="77"/>
      <c r="Q24" s="35"/>
      <c r="R24" s="35"/>
      <c r="S24" s="35"/>
      <c r="T24" s="35"/>
      <c r="U24" s="35"/>
      <c r="V24" s="35"/>
      <c r="W24" s="35"/>
      <c r="X24" s="35"/>
      <c r="Y24" s="35"/>
    </row>
    <row r="25" ht="21" customHeight="1" spans="1:25">
      <c r="A25" s="42"/>
      <c r="B25" s="36"/>
      <c r="C25" s="36"/>
      <c r="D25" s="36"/>
      <c r="E25" s="56"/>
      <c r="F25" s="58"/>
      <c r="G25" s="78"/>
      <c r="H25" s="79"/>
      <c r="I25" s="80"/>
      <c r="J25" s="81"/>
      <c r="K25" s="80"/>
      <c r="L25" s="81"/>
      <c r="M25" s="80"/>
      <c r="N25" s="81"/>
      <c r="O25" s="82"/>
      <c r="P25" s="83"/>
    </row>
    <row r="26" ht="18.75" customHeight="1" spans="1:25">
      <c r="A26" s="42"/>
      <c r="B26" s="36"/>
      <c r="C26" s="36"/>
      <c r="D26" s="36"/>
      <c r="E26" s="84" t="s">
        <v>79</v>
      </c>
      <c r="F26" s="84"/>
      <c r="G26" s="32"/>
      <c r="H26" s="32"/>
      <c r="I26" s="32"/>
      <c r="J26" s="32"/>
      <c r="K26" s="32"/>
      <c r="L26" s="32"/>
      <c r="M26" s="32"/>
      <c r="N26" s="32"/>
      <c r="O26" s="40">
        <f t="shared" ref="O26:O28" si="4">SUM(G26:N26)</f>
        <v>0</v>
      </c>
      <c r="P26" s="40"/>
    </row>
    <row r="27" ht="18.75" customHeight="1" spans="1:25">
      <c r="A27" s="42"/>
      <c r="B27" s="36"/>
      <c r="C27" s="36"/>
      <c r="D27" s="36"/>
      <c r="E27" s="85" t="s">
        <v>80</v>
      </c>
      <c r="F27" s="86" t="s">
        <v>11</v>
      </c>
      <c r="G27" s="32"/>
      <c r="H27" s="32"/>
      <c r="I27" s="32"/>
      <c r="J27" s="32"/>
      <c r="K27" s="32"/>
      <c r="L27" s="32"/>
      <c r="M27" s="32"/>
      <c r="N27" s="32"/>
      <c r="O27" s="40">
        <f t="shared" si="4"/>
        <v>0</v>
      </c>
      <c r="P27" s="40"/>
    </row>
    <row r="28" ht="18.75" spans="1:25">
      <c r="A28" s="42"/>
      <c r="B28" s="36"/>
      <c r="C28" s="36"/>
      <c r="D28" s="36"/>
      <c r="E28" s="87"/>
      <c r="F28" s="86" t="s">
        <v>13</v>
      </c>
      <c r="G28" s="32"/>
      <c r="H28" s="32"/>
      <c r="I28" s="32"/>
      <c r="J28" s="32"/>
      <c r="K28" s="32"/>
      <c r="L28" s="32"/>
      <c r="M28" s="32"/>
      <c r="N28" s="32"/>
      <c r="O28" s="40">
        <f t="shared" si="4"/>
        <v>0</v>
      </c>
      <c r="P28" s="40"/>
    </row>
    <row r="29" ht="17.45" customHeight="1" spans="1:25">
      <c r="A29" s="42"/>
      <c r="B29" s="36" t="s">
        <v>81</v>
      </c>
      <c r="C29" s="36"/>
      <c r="D29" s="36"/>
      <c r="E29" s="88" t="s">
        <v>82</v>
      </c>
      <c r="F29" s="89"/>
      <c r="G29" s="32"/>
      <c r="H29" s="32"/>
      <c r="I29" s="32"/>
      <c r="J29" s="32"/>
      <c r="K29" s="32"/>
      <c r="L29" s="32"/>
      <c r="M29" s="32"/>
      <c r="N29" s="32"/>
      <c r="O29" s="40">
        <f>SUM(G29:N30)</f>
        <v>0</v>
      </c>
      <c r="P29" s="40"/>
    </row>
    <row r="30" ht="17.45" customHeight="1" spans="1:25">
      <c r="A30" s="42"/>
      <c r="B30" s="36"/>
      <c r="C30" s="36"/>
      <c r="D30" s="36"/>
      <c r="E30" s="89"/>
      <c r="F30" s="89"/>
      <c r="G30" s="32"/>
      <c r="H30" s="32"/>
      <c r="I30" s="32"/>
      <c r="J30" s="32"/>
      <c r="K30" s="32"/>
      <c r="L30" s="32"/>
      <c r="M30" s="32"/>
      <c r="N30" s="32"/>
      <c r="O30" s="40"/>
      <c r="P30" s="40"/>
    </row>
    <row r="31" ht="17.45" customHeight="1" spans="1:25">
      <c r="A31" s="42"/>
      <c r="B31" s="89" t="s">
        <v>83</v>
      </c>
      <c r="C31" s="89"/>
      <c r="D31" s="89"/>
      <c r="E31" s="89" t="s">
        <v>84</v>
      </c>
      <c r="F31" s="36"/>
      <c r="G31" s="32"/>
      <c r="H31" s="32"/>
      <c r="I31" s="32"/>
      <c r="J31" s="32"/>
      <c r="K31" s="32"/>
      <c r="L31" s="32"/>
      <c r="M31" s="32"/>
      <c r="N31" s="32"/>
      <c r="O31" s="40">
        <f>SUM(G31:N32)</f>
        <v>0</v>
      </c>
      <c r="P31" s="40"/>
    </row>
    <row r="32" ht="17.45" customHeight="1" spans="1:25">
      <c r="A32" s="42"/>
      <c r="B32" s="89"/>
      <c r="C32" s="89"/>
      <c r="D32" s="89"/>
      <c r="E32" s="36"/>
      <c r="F32" s="36"/>
      <c r="G32" s="32"/>
      <c r="H32" s="32"/>
      <c r="I32" s="32"/>
      <c r="J32" s="32"/>
      <c r="K32" s="32"/>
      <c r="L32" s="32"/>
      <c r="M32" s="32"/>
      <c r="N32" s="32"/>
      <c r="O32" s="40"/>
      <c r="P32" s="40"/>
    </row>
    <row r="33" ht="18.75" spans="1:16">
      <c r="A33" s="42"/>
      <c r="B33" s="90" t="s">
        <v>85</v>
      </c>
      <c r="C33" s="90"/>
      <c r="D33" s="90"/>
      <c r="E33" s="90" t="s">
        <v>86</v>
      </c>
      <c r="F33" s="90"/>
      <c r="G33" s="32"/>
      <c r="H33" s="32"/>
      <c r="I33" s="32"/>
      <c r="J33" s="32"/>
      <c r="K33" s="32"/>
      <c r="L33" s="32"/>
      <c r="M33" s="32"/>
      <c r="N33" s="32"/>
      <c r="O33" s="40">
        <f t="shared" ref="O33:O40" si="5">SUM(G33:N33)</f>
        <v>0</v>
      </c>
      <c r="P33" s="40"/>
    </row>
    <row r="34" ht="18.75" spans="1:16">
      <c r="A34" s="42"/>
      <c r="B34" s="90" t="s">
        <v>87</v>
      </c>
      <c r="C34" s="90"/>
      <c r="D34" s="90"/>
      <c r="E34" s="91" t="s">
        <v>88</v>
      </c>
      <c r="F34" s="90"/>
      <c r="G34" s="32"/>
      <c r="H34" s="32"/>
      <c r="I34" s="32"/>
      <c r="J34" s="32"/>
      <c r="K34" s="32"/>
      <c r="L34" s="32"/>
      <c r="M34" s="32"/>
      <c r="N34" s="32"/>
      <c r="O34" s="40">
        <f t="shared" si="5"/>
        <v>0</v>
      </c>
      <c r="P34" s="40"/>
    </row>
    <row r="35" ht="18.75" spans="1:16">
      <c r="A35" s="42"/>
      <c r="B35" s="90" t="s">
        <v>89</v>
      </c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</row>
    <row r="36" ht="17.45" customHeight="1" spans="1:16">
      <c r="A36" s="42"/>
      <c r="B36" s="92" t="s">
        <v>90</v>
      </c>
      <c r="C36" s="93"/>
      <c r="D36" s="93"/>
      <c r="E36" s="89" t="s">
        <v>91</v>
      </c>
      <c r="F36" s="89"/>
      <c r="G36" s="32"/>
      <c r="H36" s="32"/>
      <c r="I36" s="32"/>
      <c r="J36" s="32"/>
      <c r="K36" s="32"/>
      <c r="L36" s="32"/>
      <c r="M36" s="32"/>
      <c r="N36" s="32"/>
      <c r="O36" s="40">
        <f>SUM(G36:N37)</f>
        <v>0</v>
      </c>
      <c r="P36" s="40"/>
    </row>
    <row r="37" ht="17.45" customHeight="1" spans="1:16">
      <c r="A37" s="42"/>
      <c r="B37" s="93"/>
      <c r="C37" s="93"/>
      <c r="D37" s="93"/>
      <c r="E37" s="89"/>
      <c r="F37" s="89"/>
      <c r="G37" s="32"/>
      <c r="H37" s="32"/>
      <c r="I37" s="32"/>
      <c r="J37" s="32"/>
      <c r="K37" s="32"/>
      <c r="L37" s="32"/>
      <c r="M37" s="32"/>
      <c r="N37" s="32"/>
      <c r="O37" s="40"/>
      <c r="P37" s="40"/>
    </row>
    <row r="38" ht="18.75" customHeight="1" spans="1:16">
      <c r="A38" s="42"/>
      <c r="B38" s="36" t="s">
        <v>92</v>
      </c>
      <c r="C38" s="90"/>
      <c r="D38" s="90"/>
      <c r="E38" s="94" t="s">
        <v>93</v>
      </c>
      <c r="F38" s="95"/>
      <c r="G38" s="96"/>
      <c r="H38" s="97"/>
      <c r="I38" s="96"/>
      <c r="J38" s="97"/>
      <c r="K38" s="96"/>
      <c r="L38" s="97"/>
      <c r="M38" s="96"/>
      <c r="N38" s="97"/>
      <c r="O38" s="40">
        <f t="shared" si="5"/>
        <v>0</v>
      </c>
      <c r="P38" s="40"/>
    </row>
    <row r="39" ht="18.75" customHeight="1" spans="1:16">
      <c r="A39" s="42"/>
      <c r="B39" s="90"/>
      <c r="C39" s="90"/>
      <c r="D39" s="90"/>
      <c r="E39" s="94" t="s">
        <v>94</v>
      </c>
      <c r="F39" s="95"/>
      <c r="G39" s="96"/>
      <c r="H39" s="97"/>
      <c r="I39" s="96"/>
      <c r="J39" s="97"/>
      <c r="K39" s="96"/>
      <c r="L39" s="97"/>
      <c r="M39" s="96"/>
      <c r="N39" s="97"/>
      <c r="O39" s="40">
        <f t="shared" si="5"/>
        <v>0</v>
      </c>
      <c r="P39" s="40"/>
    </row>
    <row r="40" ht="18.75" spans="1:16">
      <c r="A40" s="45"/>
      <c r="B40" s="93" t="s">
        <v>95</v>
      </c>
      <c r="C40" s="93"/>
      <c r="D40" s="93"/>
      <c r="E40" s="98" t="s">
        <v>96</v>
      </c>
      <c r="F40" s="98"/>
      <c r="G40" s="32"/>
      <c r="H40" s="32"/>
      <c r="I40" s="32"/>
      <c r="J40" s="32"/>
      <c r="K40" s="32"/>
      <c r="L40" s="32"/>
      <c r="M40" s="32"/>
      <c r="N40" s="32"/>
      <c r="O40" s="40">
        <f t="shared" si="5"/>
        <v>0</v>
      </c>
      <c r="P40" s="40"/>
    </row>
    <row r="41" ht="18" customHeight="1" spans="1:16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65" t="s">
        <v>66</v>
      </c>
      <c r="P41" s="65" t="s">
        <v>67</v>
      </c>
    </row>
    <row r="42" ht="18.75" customHeight="1" spans="1:16">
      <c r="A42" s="100" t="s">
        <v>97</v>
      </c>
      <c r="B42" s="36" t="s">
        <v>98</v>
      </c>
      <c r="C42" s="36"/>
      <c r="D42" s="36"/>
      <c r="E42" s="101" t="s">
        <v>69</v>
      </c>
      <c r="F42" s="90"/>
      <c r="G42" s="102" t="s">
        <v>99</v>
      </c>
      <c r="H42" s="102"/>
      <c r="I42" s="102"/>
      <c r="J42" s="102"/>
      <c r="K42" s="102"/>
      <c r="L42" s="102"/>
      <c r="M42" s="102"/>
      <c r="N42" s="102"/>
      <c r="O42" s="103"/>
      <c r="P42" s="43">
        <f>'1年财报'!K8+O44-O43</f>
        <v>0</v>
      </c>
    </row>
    <row r="43" ht="18.75" customHeight="1" spans="1:16">
      <c r="A43" s="104"/>
      <c r="B43" s="36"/>
      <c r="C43" s="36"/>
      <c r="D43" s="36"/>
      <c r="E43" s="101" t="s">
        <v>100</v>
      </c>
      <c r="F43" s="90"/>
      <c r="G43" s="102" t="s">
        <v>101</v>
      </c>
      <c r="H43" s="102"/>
      <c r="I43" s="102"/>
      <c r="J43" s="102"/>
      <c r="K43" s="102"/>
      <c r="L43" s="102"/>
      <c r="M43" s="102"/>
      <c r="N43" s="102"/>
      <c r="O43" s="103"/>
      <c r="P43" s="44"/>
    </row>
    <row r="44" ht="18.75" customHeight="1" spans="1:16">
      <c r="A44" s="104"/>
      <c r="B44" s="36"/>
      <c r="C44" s="36"/>
      <c r="D44" s="36"/>
      <c r="E44" s="101" t="s">
        <v>102</v>
      </c>
      <c r="F44" s="90"/>
      <c r="G44" s="102" t="s">
        <v>101</v>
      </c>
      <c r="H44" s="102"/>
      <c r="I44" s="102"/>
      <c r="J44" s="102"/>
      <c r="K44" s="102"/>
      <c r="L44" s="102"/>
      <c r="M44" s="102"/>
      <c r="N44" s="102"/>
      <c r="O44" s="103"/>
      <c r="P44" s="46"/>
    </row>
    <row r="45" ht="18.75" customHeight="1" spans="1:16">
      <c r="A45" s="104"/>
      <c r="B45" s="105" t="s">
        <v>141</v>
      </c>
      <c r="C45" s="105"/>
      <c r="D45" s="105"/>
      <c r="E45" s="105"/>
      <c r="F45" s="106"/>
      <c r="G45" s="102" t="s">
        <v>101</v>
      </c>
      <c r="H45" s="102"/>
      <c r="I45" s="102"/>
      <c r="J45" s="102"/>
      <c r="K45" s="102"/>
      <c r="L45" s="102"/>
      <c r="M45" s="102"/>
      <c r="N45" s="102"/>
      <c r="O45" s="32"/>
      <c r="P45" s="32"/>
    </row>
    <row r="46" ht="18.75" customHeight="1" spans="1:16">
      <c r="A46" s="104"/>
      <c r="B46" s="107" t="s">
        <v>142</v>
      </c>
      <c r="C46" s="108"/>
      <c r="D46" s="109"/>
      <c r="E46" s="110" t="s">
        <v>105</v>
      </c>
      <c r="F46" s="111"/>
      <c r="G46" s="112" t="s">
        <v>143</v>
      </c>
      <c r="H46" s="113"/>
      <c r="I46" s="113"/>
      <c r="J46" s="113"/>
      <c r="K46" s="113"/>
      <c r="L46" s="113"/>
      <c r="M46" s="113"/>
      <c r="N46" s="114"/>
      <c r="O46" s="32"/>
      <c r="P46" s="32"/>
    </row>
    <row r="47" ht="18.75" spans="1:16">
      <c r="A47" s="104"/>
      <c r="B47" s="106"/>
      <c r="C47" s="115"/>
      <c r="D47" s="116"/>
      <c r="E47" s="110" t="s">
        <v>107</v>
      </c>
      <c r="F47" s="111"/>
      <c r="G47" s="117"/>
      <c r="H47" s="118"/>
      <c r="I47" s="118"/>
      <c r="J47" s="118"/>
      <c r="K47" s="118"/>
      <c r="L47" s="118"/>
      <c r="M47" s="118"/>
      <c r="N47" s="119"/>
      <c r="O47" s="120"/>
      <c r="P47" s="121"/>
    </row>
    <row r="48" ht="18.75" customHeight="1" spans="1:16">
      <c r="A48" s="104"/>
      <c r="B48" s="90" t="s">
        <v>144</v>
      </c>
      <c r="C48" s="90"/>
      <c r="D48" s="90"/>
      <c r="E48" s="90"/>
      <c r="F48" s="122"/>
      <c r="G48" s="123" t="s">
        <v>145</v>
      </c>
      <c r="H48" s="123"/>
      <c r="I48" s="123"/>
      <c r="J48" s="123"/>
      <c r="K48" s="123"/>
      <c r="L48" s="123"/>
      <c r="M48" s="123"/>
      <c r="N48" s="123"/>
      <c r="O48" s="32"/>
      <c r="P48" s="32"/>
    </row>
    <row r="49" ht="18.75" spans="1:16">
      <c r="A49" s="104"/>
      <c r="B49" s="107" t="s">
        <v>110</v>
      </c>
      <c r="C49" s="108"/>
      <c r="D49" s="108"/>
      <c r="E49" s="108"/>
      <c r="F49" s="108"/>
      <c r="G49" s="124"/>
      <c r="H49" s="102"/>
      <c r="I49" s="102"/>
      <c r="J49" s="102"/>
      <c r="K49" s="102"/>
      <c r="L49" s="102"/>
      <c r="M49" s="102"/>
      <c r="N49" s="102"/>
      <c r="O49" s="29">
        <f>'1年财报'!G7+O27-O23</f>
        <v>3</v>
      </c>
      <c r="P49" s="29"/>
    </row>
    <row r="50" ht="18.75" customHeight="1" spans="1:16">
      <c r="A50" s="104"/>
      <c r="B50" s="36" t="s">
        <v>111</v>
      </c>
      <c r="C50" s="36"/>
      <c r="D50" s="36"/>
      <c r="E50" s="36" t="s">
        <v>112</v>
      </c>
      <c r="F50" s="36"/>
      <c r="G50" s="36"/>
      <c r="H50" s="36"/>
      <c r="I50" s="36"/>
      <c r="J50" s="36"/>
      <c r="K50" s="36"/>
      <c r="L50" s="36"/>
      <c r="M50" s="36"/>
      <c r="N50" s="36"/>
      <c r="O50" s="29">
        <f>'1年财报'!G8+O28</f>
        <v>0</v>
      </c>
      <c r="P50" s="29"/>
    </row>
    <row r="51" ht="18.75" customHeight="1" spans="1:16">
      <c r="A51" s="104"/>
      <c r="B51" s="36"/>
      <c r="C51" s="36"/>
      <c r="D51" s="36"/>
      <c r="E51" s="36" t="s">
        <v>113</v>
      </c>
      <c r="F51" s="36"/>
      <c r="G51" s="36"/>
      <c r="H51" s="36"/>
      <c r="I51" s="36"/>
      <c r="J51" s="36"/>
      <c r="K51" s="36"/>
      <c r="L51" s="36"/>
      <c r="M51" s="36"/>
      <c r="N51" s="36"/>
      <c r="O51" s="40" t="str">
        <f>FIXED(O50/3,0,TRUE)</f>
        <v>0</v>
      </c>
      <c r="P51" s="40"/>
    </row>
    <row r="52" ht="18.75" customHeight="1" spans="1:16">
      <c r="A52" s="104"/>
      <c r="B52" s="36"/>
      <c r="C52" s="36"/>
      <c r="D52" s="36"/>
      <c r="E52" s="36" t="s">
        <v>114</v>
      </c>
      <c r="F52" s="36"/>
      <c r="G52" s="36"/>
      <c r="H52" s="36"/>
      <c r="I52" s="36"/>
      <c r="J52" s="36"/>
      <c r="K52" s="36"/>
      <c r="L52" s="36"/>
      <c r="M52" s="36"/>
      <c r="N52" s="36"/>
      <c r="O52" s="32"/>
      <c r="P52" s="32"/>
    </row>
    <row r="53" ht="18.75" customHeight="1" spans="1:16">
      <c r="A53" s="104"/>
      <c r="B53" s="59" t="s">
        <v>115</v>
      </c>
      <c r="C53" s="60"/>
      <c r="D53" s="61"/>
      <c r="E53" s="59" t="s">
        <v>116</v>
      </c>
      <c r="F53" s="60"/>
      <c r="G53" s="60"/>
      <c r="H53" s="60"/>
      <c r="I53" s="60"/>
      <c r="J53" s="60"/>
      <c r="K53" s="60"/>
      <c r="L53" s="60"/>
      <c r="M53" s="60"/>
      <c r="N53" s="61"/>
      <c r="O53" s="125"/>
      <c r="P53" s="126"/>
    </row>
    <row r="54" ht="18" customHeight="1" spans="1:16">
      <c r="A54" s="127" t="s">
        <v>117</v>
      </c>
      <c r="B54" s="128"/>
      <c r="C54" s="128"/>
      <c r="D54" s="128"/>
      <c r="E54" s="128"/>
      <c r="F54" s="129"/>
      <c r="G54" s="65" t="s">
        <v>60</v>
      </c>
      <c r="H54" s="65" t="s">
        <v>61</v>
      </c>
      <c r="I54" s="65" t="s">
        <v>62</v>
      </c>
      <c r="J54" s="65" t="s">
        <v>63</v>
      </c>
      <c r="K54" s="65" t="s">
        <v>64</v>
      </c>
      <c r="L54" s="65"/>
      <c r="M54" s="65" t="s">
        <v>65</v>
      </c>
      <c r="N54" s="65"/>
      <c r="O54" s="65" t="s">
        <v>66</v>
      </c>
      <c r="P54" s="65"/>
    </row>
    <row r="55" ht="18" customHeight="1" spans="1:16">
      <c r="A55" s="127"/>
      <c r="B55" s="90" t="s">
        <v>118</v>
      </c>
      <c r="C55" s="90"/>
      <c r="D55" s="90"/>
      <c r="E55" s="130" t="s">
        <v>119</v>
      </c>
      <c r="F55" s="131"/>
      <c r="G55" s="103"/>
      <c r="H55" s="103"/>
      <c r="I55" s="103"/>
      <c r="J55" s="103"/>
      <c r="K55" s="103"/>
      <c r="L55" s="103"/>
      <c r="M55" s="103"/>
      <c r="N55" s="103"/>
      <c r="O55" s="132">
        <f>SUM((G55:N56))</f>
        <v>0</v>
      </c>
      <c r="P55" s="132"/>
    </row>
    <row r="56" ht="18" customHeight="1" spans="1:16">
      <c r="A56" s="127"/>
      <c r="B56" s="90"/>
      <c r="C56" s="90"/>
      <c r="D56" s="90"/>
      <c r="E56" s="130"/>
      <c r="F56" s="131"/>
      <c r="G56" s="103"/>
      <c r="H56" s="103"/>
      <c r="I56" s="103"/>
      <c r="J56" s="103"/>
      <c r="K56" s="103"/>
      <c r="L56" s="103"/>
      <c r="M56" s="103"/>
      <c r="N56" s="103"/>
      <c r="O56" s="132"/>
      <c r="P56" s="132"/>
    </row>
    <row r="57" ht="18" customHeight="1" spans="1:16">
      <c r="A57" s="127"/>
      <c r="B57" s="90" t="s">
        <v>120</v>
      </c>
      <c r="C57" s="90"/>
      <c r="D57" s="90"/>
      <c r="E57" s="90"/>
      <c r="F57" s="122"/>
      <c r="G57" s="102" t="s">
        <v>101</v>
      </c>
      <c r="H57" s="102"/>
      <c r="I57" s="102"/>
      <c r="J57" s="102"/>
      <c r="K57" s="102"/>
      <c r="L57" s="102"/>
      <c r="M57" s="102"/>
      <c r="N57" s="102"/>
      <c r="O57" s="133"/>
      <c r="P57" s="134"/>
    </row>
    <row r="58" ht="18" customHeight="1" spans="1:16">
      <c r="A58" s="127"/>
      <c r="B58" s="90" t="s">
        <v>121</v>
      </c>
      <c r="C58" s="90"/>
      <c r="D58" s="90"/>
      <c r="E58" s="90"/>
      <c r="F58" s="122"/>
      <c r="G58" s="102" t="s">
        <v>101</v>
      </c>
      <c r="H58" s="102"/>
      <c r="I58" s="102"/>
      <c r="J58" s="102"/>
      <c r="K58" s="102"/>
      <c r="L58" s="102"/>
      <c r="M58" s="102"/>
      <c r="N58" s="102"/>
      <c r="O58" s="103"/>
      <c r="P58" s="103"/>
    </row>
    <row r="59" ht="18.75" customHeight="1" spans="1:16">
      <c r="B59" s="30" t="s">
        <v>21</v>
      </c>
      <c r="C59" s="135">
        <f>'1年财报'!$G$13+$F$59-$I$59</f>
        <v>35</v>
      </c>
      <c r="D59" s="84" t="s">
        <v>122</v>
      </c>
      <c r="E59" s="84"/>
      <c r="F59" s="33">
        <f>$O$12+$O$23+$O$36+$O$44+$O$47+$O$58</f>
        <v>0</v>
      </c>
      <c r="G59" s="84" t="s">
        <v>123</v>
      </c>
      <c r="H59" s="136"/>
      <c r="I59" s="137">
        <f>$M$1+$P$5+$O$10+$O$11+$O$18+$O$21+$O$22+$O$26+$O$29+$O$31+$O$33+$O$34+$O$40+$O$45+$O$46+$O$42+$O$43+$O$48+$O$53+$O$55+$O$57</f>
        <v>0</v>
      </c>
      <c r="J59" s="138" t="s">
        <v>124</v>
      </c>
      <c r="K59" s="139" t="e">
        <f>$O$5/$P$5</f>
        <v>#DIV/0!</v>
      </c>
      <c r="L59" s="140" t="s">
        <v>125</v>
      </c>
      <c r="M59" s="141" t="e">
        <f>$O$33/($O$38+$O$58)</f>
        <v>#DIV/0!</v>
      </c>
      <c r="N59" s="142" t="s">
        <v>126</v>
      </c>
      <c r="O59" s="143">
        <f>($O$38-$O$39--$O$11-$P$5-$M$1-$O$21-$O$22--$O$29-$O$33-$O$34-$O$42-$O$45-$O$48-$O$53-$O$57+$O$58)/($O$31*7+5)*100</f>
        <v>0</v>
      </c>
    </row>
    <row r="60" ht="18.75" spans="1:16">
      <c r="A60" s="144" t="s">
        <v>27</v>
      </c>
      <c r="B60" s="145"/>
      <c r="C60" s="33">
        <f>$O$11+$O$42+$O$55</f>
        <v>0</v>
      </c>
      <c r="D60" s="138" t="s">
        <v>127</v>
      </c>
      <c r="E60" s="33">
        <f>$O$46-$O$47</f>
        <v>0</v>
      </c>
      <c r="F60" s="146" t="s">
        <v>128</v>
      </c>
      <c r="G60" s="40">
        <f>$O$38-$O$36</f>
        <v>0</v>
      </c>
      <c r="H60" s="147" t="s">
        <v>146</v>
      </c>
      <c r="I60" s="148">
        <f>'2年财报'!$C$22/'2年财报'!$K$19</f>
        <v>0</v>
      </c>
      <c r="J60" s="149" t="s">
        <v>130</v>
      </c>
      <c r="K60" s="148">
        <f>'2年财报'!$C$22/'2年财报'!$G$22</f>
        <v>0</v>
      </c>
      <c r="L60" s="150"/>
      <c r="M60" s="151"/>
      <c r="N60" s="150"/>
      <c r="O60" s="152"/>
      <c r="P60" s="153"/>
    </row>
    <row r="61" ht="18.75" spans="1:16">
      <c r="A61" s="144" t="s">
        <v>30</v>
      </c>
      <c r="B61" s="145"/>
      <c r="C61" s="33">
        <f>$O$58-$O$57</f>
        <v>0</v>
      </c>
      <c r="D61" s="154" t="s">
        <v>131</v>
      </c>
      <c r="E61" s="33">
        <f>$O$27-$O$23</f>
        <v>0</v>
      </c>
      <c r="F61" s="154" t="s">
        <v>132</v>
      </c>
      <c r="G61" s="40">
        <f>$O$28-$O$51</f>
        <v>0</v>
      </c>
      <c r="H61" s="155" t="s">
        <v>133</v>
      </c>
      <c r="I61" s="148" t="e">
        <f>'2年财报'!$C$22/'2年财报'!$C$4</f>
        <v>#DIV/0!</v>
      </c>
      <c r="J61" s="147" t="s">
        <v>134</v>
      </c>
      <c r="K61" s="148" t="e">
        <f>1-'2年财报'!$C$5/'2年财报'!$C$4</f>
        <v>#DIV/0!</v>
      </c>
      <c r="L61" s="151"/>
      <c r="M61" s="151"/>
      <c r="N61" s="151"/>
      <c r="O61" s="151"/>
      <c r="P61" s="153"/>
    </row>
    <row r="62" ht="14.25" spans="1:16">
      <c r="A62" s="153"/>
      <c r="B62" s="153"/>
      <c r="C62" s="153"/>
      <c r="D62" s="156"/>
      <c r="E62" s="153"/>
      <c r="F62" s="153"/>
      <c r="G62" s="153"/>
      <c r="H62" s="157"/>
      <c r="I62" s="158"/>
      <c r="J62" s="150"/>
      <c r="K62" s="158"/>
      <c r="L62" s="153"/>
      <c r="M62" s="153"/>
      <c r="N62" s="153"/>
      <c r="O62" s="153"/>
      <c r="P62" s="153"/>
    </row>
    <row r="63" ht="14.25" spans="1:16">
      <c r="A63" s="153"/>
      <c r="B63" s="153"/>
      <c r="C63" s="153"/>
      <c r="D63" s="156"/>
      <c r="E63" s="153"/>
      <c r="F63" s="153"/>
      <c r="G63" s="153"/>
      <c r="H63" s="157"/>
      <c r="I63" s="158"/>
      <c r="J63" s="150"/>
      <c r="K63" s="158"/>
      <c r="L63" s="153"/>
      <c r="M63" s="153"/>
      <c r="N63" s="153"/>
      <c r="O63" s="153"/>
      <c r="P63" s="153"/>
    </row>
    <row r="64" ht="14.25" spans="1:16">
      <c r="A64" s="153"/>
      <c r="B64" s="153"/>
      <c r="C64" s="153"/>
      <c r="D64" s="156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</row>
    <row r="65" ht="14.25" spans="1:16">
      <c r="A65" s="153"/>
      <c r="B65" s="153"/>
      <c r="C65" s="153"/>
      <c r="D65" s="156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</row>
    <row r="66" ht="14.25" spans="1:16">
      <c r="A66" s="153"/>
      <c r="B66" s="153"/>
      <c r="C66" s="153"/>
      <c r="D66" s="156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</row>
    <row r="67" ht="14.25" spans="1:16">
      <c r="A67" s="153"/>
      <c r="B67" s="153"/>
      <c r="C67" s="153"/>
      <c r="D67" s="156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</row>
    <row r="68" ht="14.25" spans="1:16">
      <c r="A68" s="153"/>
      <c r="B68" s="153"/>
      <c r="C68" s="153"/>
      <c r="D68" s="156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</row>
    <row r="69" ht="14.25" spans="1:16">
      <c r="A69" s="153"/>
      <c r="B69" s="153"/>
      <c r="C69" s="153"/>
      <c r="D69" s="156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</row>
  </sheetData>
  <mergeCells count="265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D59:E59"/>
    <mergeCell ref="G59:H59"/>
    <mergeCell ref="A60:B60"/>
    <mergeCell ref="A61:B61"/>
    <mergeCell ref="A1:A8"/>
    <mergeCell ref="A9:A12"/>
    <mergeCell ref="A13:A18"/>
    <mergeCell ref="A19:A40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"/>
  <sheetViews>
    <sheetView zoomScale="130" zoomScaleNormal="130" workbookViewId="0">
      <selection activeCell="G13" sqref="G13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'2年经营'!O38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'2年经营'!O39</f>
        <v>0</v>
      </c>
      <c r="D5" s="5"/>
      <c r="E5" s="5"/>
      <c r="F5" s="9" t="s">
        <v>8</v>
      </c>
      <c r="G5" s="10">
        <f>'2年经营'!O52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'1年财报'!G6+'2年经营'!E60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'1年财报'!G7+'2年经营'!E61</f>
        <v>3</v>
      </c>
      <c r="H7" s="5"/>
      <c r="I7" s="5"/>
      <c r="J7" s="9" t="s">
        <v>12</v>
      </c>
      <c r="K7" s="10">
        <f>'2年经营'!P10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'1年财报'!G8+'2年经营'!G61</f>
        <v>0</v>
      </c>
      <c r="H8" s="5"/>
      <c r="I8" s="5"/>
      <c r="J8" s="9" t="s">
        <v>14</v>
      </c>
      <c r="K8" s="10">
        <f>'2年经营'!P42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135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'2年经营'!O2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'2年经营'!O51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'2年经营'!C59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'1年财报'!G14+'2年经营'!O38-'2年经营'!O36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'1年财报'!K15</f>
        <v>50</v>
      </c>
      <c r="L15" s="5"/>
    </row>
    <row r="16" s="1" customFormat="1" ht="20.1" customHeight="1" spans="2:12">
      <c r="B16" s="9" t="s">
        <v>27</v>
      </c>
      <c r="C16" s="10">
        <f>'2年经营'!C60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'1年财报'!K16+'1年财报'!K17</f>
        <v>19</v>
      </c>
    </row>
    <row r="17" s="1" customFormat="1" ht="20.1" customHeight="1" spans="2:11">
      <c r="B17" s="9" t="s">
        <v>30</v>
      </c>
      <c r="C17" s="10">
        <f>'2年经营'!C61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4" ht="21.95" customHeight="1" spans="2:11">
      <c r="B24" s="19" t="s">
        <v>136</v>
      </c>
      <c r="C24" s="20"/>
      <c r="D24" s="21" t="s">
        <v>137</v>
      </c>
    </row>
    <row r="25" ht="21.95" customHeight="1" spans="2:11">
      <c r="B25" s="19" t="s">
        <v>138</v>
      </c>
      <c r="C25" s="22"/>
      <c r="D25" s="21"/>
    </row>
    <row r="26" ht="20.1" customHeight="1" spans="2:11">
      <c r="B26" s="19" t="s">
        <v>139</v>
      </c>
      <c r="C26" s="23"/>
      <c r="D26" s="21"/>
    </row>
  </sheetData>
  <mergeCells count="10">
    <mergeCell ref="B2:C2"/>
    <mergeCell ref="F2:K2"/>
    <mergeCell ref="F3:G3"/>
    <mergeCell ref="J3:K3"/>
    <mergeCell ref="F4:G4"/>
    <mergeCell ref="J4:K4"/>
    <mergeCell ref="F11:G11"/>
    <mergeCell ref="J13:K13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workbookViewId="0">
      <selection activeCell="M1" sqref="M1:N1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24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25" t="s">
        <v>40</v>
      </c>
      <c r="B1" s="26" t="s">
        <v>41</v>
      </c>
      <c r="C1" s="27"/>
      <c r="D1" s="28"/>
      <c r="E1" s="26" t="s">
        <v>42</v>
      </c>
      <c r="F1" s="27"/>
      <c r="G1" s="27"/>
      <c r="H1" s="27"/>
      <c r="I1" s="27"/>
      <c r="J1" s="27"/>
      <c r="K1" s="27"/>
      <c r="L1" s="28"/>
      <c r="M1" s="29" t="str">
        <f>'2年财报'!C21</f>
        <v>0</v>
      </c>
      <c r="N1" s="29"/>
      <c r="O1" s="30" t="s">
        <v>16</v>
      </c>
      <c r="P1" s="30"/>
    </row>
    <row r="2" ht="18" customHeight="1" spans="1:25">
      <c r="A2" s="25"/>
      <c r="B2" s="26" t="s">
        <v>43</v>
      </c>
      <c r="C2" s="27"/>
      <c r="D2" s="28"/>
      <c r="E2" s="26" t="s">
        <v>44</v>
      </c>
      <c r="F2" s="27"/>
      <c r="G2" s="27"/>
      <c r="H2" s="27"/>
      <c r="I2" s="27"/>
      <c r="J2" s="27"/>
      <c r="K2" s="31" t="s">
        <v>45</v>
      </c>
      <c r="L2" s="31"/>
      <c r="M2" s="32"/>
      <c r="N2" s="32"/>
      <c r="O2" s="33">
        <f>P5+O21+O22+O29+O33+O34+O40+O45+O48+O53</f>
        <v>0</v>
      </c>
      <c r="P2" s="34"/>
      <c r="Q2" s="35"/>
      <c r="R2" s="35"/>
      <c r="S2" s="35"/>
      <c r="T2" s="35"/>
      <c r="U2" s="35"/>
      <c r="V2" s="35"/>
      <c r="W2" s="35"/>
      <c r="X2" s="35"/>
      <c r="Y2" s="35"/>
    </row>
    <row r="3" ht="18" customHeight="1" spans="1:25">
      <c r="A3" s="25"/>
      <c r="B3" s="36" t="s">
        <v>46</v>
      </c>
      <c r="C3" s="36"/>
      <c r="D3" s="31" t="s">
        <v>47</v>
      </c>
      <c r="E3" s="31" t="s">
        <v>48</v>
      </c>
      <c r="F3" s="31"/>
      <c r="G3" s="31" t="s">
        <v>49</v>
      </c>
      <c r="H3" s="31"/>
      <c r="I3" s="37" t="s">
        <v>50</v>
      </c>
      <c r="J3" s="38"/>
      <c r="K3" s="31" t="s">
        <v>51</v>
      </c>
      <c r="L3" s="31"/>
      <c r="M3" s="31" t="s">
        <v>52</v>
      </c>
      <c r="N3" s="31"/>
      <c r="O3" s="39" t="s">
        <v>53</v>
      </c>
      <c r="P3" s="39" t="s">
        <v>54</v>
      </c>
      <c r="Q3" s="35"/>
      <c r="R3" s="35"/>
      <c r="S3" s="35"/>
      <c r="T3" s="35"/>
      <c r="U3" s="35"/>
      <c r="V3" s="35"/>
      <c r="W3" s="35"/>
      <c r="X3" s="35"/>
      <c r="Y3" s="35"/>
    </row>
    <row r="4" ht="18" customHeight="1" spans="1:25">
      <c r="A4" s="25"/>
      <c r="B4" s="36"/>
      <c r="C4" s="36"/>
      <c r="D4" s="31"/>
      <c r="E4" s="31" t="s">
        <v>55</v>
      </c>
      <c r="F4" s="31"/>
      <c r="G4" s="31" t="s">
        <v>55</v>
      </c>
      <c r="H4" s="31"/>
      <c r="I4" s="31" t="s">
        <v>55</v>
      </c>
      <c r="J4" s="31"/>
      <c r="K4" s="31" t="s">
        <v>55</v>
      </c>
      <c r="L4" s="31"/>
      <c r="M4" s="31"/>
      <c r="N4" s="31"/>
      <c r="O4" s="39"/>
      <c r="P4" s="39"/>
      <c r="Q4" s="35"/>
      <c r="R4" s="35"/>
      <c r="S4" s="35"/>
      <c r="T4" s="35"/>
      <c r="U4" s="35"/>
      <c r="V4" s="35"/>
      <c r="W4" s="35"/>
      <c r="X4" s="35"/>
      <c r="Y4" s="35"/>
    </row>
    <row r="5" ht="18" customHeight="1" spans="1:25">
      <c r="A5" s="25"/>
      <c r="B5" s="36"/>
      <c r="C5" s="36"/>
      <c r="D5" s="31" t="s">
        <v>56</v>
      </c>
      <c r="E5" s="32"/>
      <c r="F5" s="32"/>
      <c r="G5" s="32"/>
      <c r="H5" s="32"/>
      <c r="I5" s="32"/>
      <c r="J5" s="32"/>
      <c r="K5" s="32"/>
      <c r="L5" s="32"/>
      <c r="M5" s="40">
        <f t="shared" ref="M5:M8" si="0">SUM(E5:L5)</f>
        <v>0</v>
      </c>
      <c r="N5" s="40"/>
      <c r="O5" s="40">
        <f>SUM(M5:N8)</f>
        <v>0</v>
      </c>
      <c r="P5" s="32"/>
      <c r="Q5" s="35"/>
      <c r="R5" s="35"/>
      <c r="S5" s="35"/>
      <c r="T5" s="35"/>
      <c r="U5" s="35"/>
      <c r="V5" s="35"/>
      <c r="W5" s="35"/>
      <c r="X5" s="35"/>
      <c r="Y5" s="35"/>
    </row>
    <row r="6" ht="18" customHeight="1" spans="1:25">
      <c r="A6" s="25"/>
      <c r="B6" s="36"/>
      <c r="C6" s="36"/>
      <c r="D6" s="31" t="s">
        <v>47</v>
      </c>
      <c r="E6" s="32"/>
      <c r="F6" s="32"/>
      <c r="G6" s="32"/>
      <c r="H6" s="32"/>
      <c r="I6" s="32"/>
      <c r="J6" s="32"/>
      <c r="K6" s="32"/>
      <c r="L6" s="32"/>
      <c r="M6" s="40">
        <f t="shared" si="0"/>
        <v>0</v>
      </c>
      <c r="N6" s="40"/>
      <c r="O6" s="40"/>
      <c r="P6" s="32"/>
      <c r="Q6" s="35"/>
      <c r="R6" s="35"/>
      <c r="S6" s="35"/>
      <c r="T6" s="35"/>
      <c r="U6" s="35"/>
      <c r="V6" s="35"/>
      <c r="W6" s="35"/>
      <c r="X6" s="35"/>
      <c r="Y6" s="35"/>
    </row>
    <row r="7" ht="18" customHeight="1" spans="1:25">
      <c r="A7" s="25"/>
      <c r="B7" s="36"/>
      <c r="C7" s="36"/>
      <c r="D7" s="31" t="s">
        <v>57</v>
      </c>
      <c r="E7" s="32"/>
      <c r="F7" s="32"/>
      <c r="G7" s="32"/>
      <c r="H7" s="32"/>
      <c r="I7" s="32"/>
      <c r="J7" s="32"/>
      <c r="K7" s="32"/>
      <c r="L7" s="32"/>
      <c r="M7" s="40">
        <f t="shared" si="0"/>
        <v>0</v>
      </c>
      <c r="N7" s="40"/>
      <c r="O7" s="40"/>
      <c r="P7" s="32"/>
      <c r="Q7" s="24"/>
      <c r="R7" s="35"/>
      <c r="S7" s="35"/>
      <c r="T7" s="35"/>
      <c r="U7" s="35"/>
      <c r="V7" s="35"/>
      <c r="W7" s="35"/>
      <c r="X7" s="35"/>
      <c r="Y7" s="35"/>
    </row>
    <row r="8" ht="18" customHeight="1" spans="1:25">
      <c r="A8" s="25"/>
      <c r="B8" s="36"/>
      <c r="C8" s="36"/>
      <c r="D8" s="31" t="s">
        <v>58</v>
      </c>
      <c r="E8" s="32"/>
      <c r="F8" s="32"/>
      <c r="G8" s="32"/>
      <c r="H8" s="32"/>
      <c r="I8" s="32"/>
      <c r="J8" s="32"/>
      <c r="K8" s="32"/>
      <c r="L8" s="32"/>
      <c r="M8" s="40">
        <f t="shared" si="0"/>
        <v>0</v>
      </c>
      <c r="N8" s="40"/>
      <c r="O8" s="40"/>
      <c r="P8" s="32"/>
      <c r="Q8" s="24"/>
      <c r="R8" s="35"/>
      <c r="S8" s="35"/>
      <c r="T8" s="35"/>
      <c r="U8" s="35"/>
      <c r="V8" s="35"/>
      <c r="W8" s="35"/>
      <c r="X8" s="35"/>
      <c r="Y8" s="35"/>
    </row>
    <row r="9" ht="18" customHeight="1" spans="1:25">
      <c r="A9" s="41" t="s">
        <v>140</v>
      </c>
      <c r="B9" s="36" t="s">
        <v>59</v>
      </c>
      <c r="C9" s="36"/>
      <c r="D9" s="36"/>
      <c r="E9" s="31"/>
      <c r="F9" s="31"/>
      <c r="G9" s="31" t="s">
        <v>60</v>
      </c>
      <c r="H9" s="31" t="s">
        <v>61</v>
      </c>
      <c r="I9" s="31" t="s">
        <v>62</v>
      </c>
      <c r="J9" s="31" t="s">
        <v>63</v>
      </c>
      <c r="K9" s="31" t="s">
        <v>64</v>
      </c>
      <c r="L9" s="31"/>
      <c r="M9" s="31" t="s">
        <v>65</v>
      </c>
      <c r="N9" s="31"/>
      <c r="O9" s="31" t="s">
        <v>66</v>
      </c>
      <c r="P9" s="31" t="s">
        <v>67</v>
      </c>
      <c r="Q9" s="35"/>
      <c r="R9" s="35"/>
      <c r="S9" s="35"/>
      <c r="T9" s="35"/>
      <c r="U9" s="35"/>
      <c r="V9" s="35"/>
      <c r="W9" s="35"/>
      <c r="X9" s="35"/>
      <c r="Y9" s="35"/>
    </row>
    <row r="10" ht="18" customHeight="1" spans="1:25">
      <c r="A10" s="42"/>
      <c r="B10" s="36"/>
      <c r="C10" s="36"/>
      <c r="D10" s="36"/>
      <c r="E10" s="31" t="s">
        <v>68</v>
      </c>
      <c r="F10" s="31"/>
      <c r="G10" s="32"/>
      <c r="H10" s="32"/>
      <c r="I10" s="32"/>
      <c r="J10" s="32"/>
      <c r="K10" s="32"/>
      <c r="L10" s="32"/>
      <c r="M10" s="32"/>
      <c r="N10" s="32"/>
      <c r="O10" s="40">
        <f t="shared" ref="O10:O12" si="1">SUM(G10:N10)</f>
        <v>0</v>
      </c>
      <c r="P10" s="43">
        <f>'2年财报'!K7+O12-O10</f>
        <v>20</v>
      </c>
      <c r="Q10" s="35"/>
      <c r="R10" s="35"/>
      <c r="S10" s="35"/>
      <c r="T10" s="35"/>
      <c r="U10" s="35"/>
      <c r="V10" s="35"/>
      <c r="W10" s="35"/>
      <c r="X10" s="35"/>
      <c r="Y10" s="35"/>
    </row>
    <row r="11" ht="18" customHeight="1" spans="1:25">
      <c r="A11" s="42"/>
      <c r="B11" s="36"/>
      <c r="C11" s="36"/>
      <c r="D11" s="36"/>
      <c r="E11" s="31" t="s">
        <v>69</v>
      </c>
      <c r="F11" s="31"/>
      <c r="G11" s="32"/>
      <c r="H11" s="32"/>
      <c r="I11" s="32"/>
      <c r="J11" s="32"/>
      <c r="K11" s="32"/>
      <c r="L11" s="32"/>
      <c r="M11" s="32"/>
      <c r="N11" s="32"/>
      <c r="O11" s="40">
        <f t="shared" si="1"/>
        <v>0</v>
      </c>
      <c r="P11" s="44"/>
      <c r="Q11" s="35"/>
      <c r="R11" s="35"/>
      <c r="S11" s="35"/>
      <c r="T11" s="35"/>
      <c r="U11" s="35"/>
      <c r="V11" s="35"/>
      <c r="W11" s="35"/>
      <c r="X11" s="35"/>
      <c r="Y11" s="35"/>
    </row>
    <row r="12" ht="18" customHeight="1" spans="1:25">
      <c r="A12" s="45"/>
      <c r="B12" s="36"/>
      <c r="C12" s="36"/>
      <c r="D12" s="36"/>
      <c r="E12" s="31" t="s">
        <v>70</v>
      </c>
      <c r="F12" s="31"/>
      <c r="G12" s="32"/>
      <c r="H12" s="32"/>
      <c r="I12" s="32"/>
      <c r="J12" s="32"/>
      <c r="K12" s="32"/>
      <c r="L12" s="32"/>
      <c r="M12" s="32"/>
      <c r="N12" s="32"/>
      <c r="O12" s="40">
        <f t="shared" si="1"/>
        <v>0</v>
      </c>
      <c r="P12" s="46"/>
      <c r="Q12" s="35"/>
      <c r="R12" s="35"/>
      <c r="S12" s="35"/>
      <c r="T12" s="35"/>
      <c r="U12" s="35"/>
      <c r="V12" s="35"/>
      <c r="W12" s="35"/>
      <c r="X12" s="35"/>
      <c r="Y12" s="35"/>
    </row>
    <row r="13" ht="18" customHeight="1" spans="1:25">
      <c r="A13" s="47" t="s">
        <v>71</v>
      </c>
      <c r="B13" s="48" t="s">
        <v>72</v>
      </c>
      <c r="C13" s="49"/>
      <c r="D13" s="50"/>
      <c r="E13" s="37"/>
      <c r="F13" s="38"/>
      <c r="G13" s="31" t="s">
        <v>60</v>
      </c>
      <c r="H13" s="31" t="s">
        <v>61</v>
      </c>
      <c r="I13" s="31" t="s">
        <v>62</v>
      </c>
      <c r="J13" s="31" t="s">
        <v>63</v>
      </c>
      <c r="K13" s="31" t="s">
        <v>64</v>
      </c>
      <c r="L13" s="31"/>
      <c r="M13" s="31" t="s">
        <v>65</v>
      </c>
      <c r="N13" s="31"/>
      <c r="O13" s="31" t="s">
        <v>66</v>
      </c>
      <c r="P13" s="31"/>
      <c r="Q13" s="35"/>
      <c r="R13" s="35"/>
      <c r="S13" s="35"/>
      <c r="T13" s="35"/>
      <c r="U13" s="35"/>
      <c r="V13" s="35"/>
      <c r="W13" s="35"/>
      <c r="X13" s="35"/>
      <c r="Y13" s="35"/>
    </row>
    <row r="14" ht="18" customHeight="1" spans="1:25">
      <c r="A14" s="51"/>
      <c r="B14" s="52"/>
      <c r="C14" s="53"/>
      <c r="D14" s="54"/>
      <c r="E14" s="37" t="s">
        <v>48</v>
      </c>
      <c r="F14" s="38"/>
      <c r="G14" s="32"/>
      <c r="H14" s="32"/>
      <c r="I14" s="32"/>
      <c r="J14" s="32"/>
      <c r="K14" s="32"/>
      <c r="L14" s="32"/>
      <c r="M14" s="32"/>
      <c r="N14" s="32"/>
      <c r="O14" s="33">
        <f t="shared" ref="O14:O18" si="2">G14+I14+K14+M14</f>
        <v>0</v>
      </c>
      <c r="P14" s="34"/>
      <c r="Q14" s="35"/>
      <c r="R14" s="35"/>
      <c r="S14" s="35"/>
      <c r="T14" s="35"/>
      <c r="U14" s="35"/>
      <c r="V14" s="35"/>
      <c r="W14" s="35"/>
      <c r="X14" s="35"/>
      <c r="Y14" s="35"/>
    </row>
    <row r="15" ht="18" customHeight="1" spans="1:25">
      <c r="A15" s="51"/>
      <c r="B15" s="52"/>
      <c r="C15" s="53"/>
      <c r="D15" s="54"/>
      <c r="E15" s="37" t="s">
        <v>49</v>
      </c>
      <c r="F15" s="38"/>
      <c r="G15" s="32"/>
      <c r="H15" s="32"/>
      <c r="I15" s="32"/>
      <c r="J15" s="32"/>
      <c r="K15" s="32"/>
      <c r="L15" s="32"/>
      <c r="M15" s="32"/>
      <c r="N15" s="32"/>
      <c r="O15" s="33">
        <f t="shared" si="2"/>
        <v>0</v>
      </c>
      <c r="P15" s="34"/>
      <c r="Q15" s="35"/>
      <c r="R15" s="35"/>
      <c r="S15" s="35"/>
      <c r="T15" s="35"/>
      <c r="U15" s="35"/>
      <c r="V15" s="35"/>
      <c r="W15" s="35"/>
      <c r="X15" s="35"/>
      <c r="Y15" s="35"/>
    </row>
    <row r="16" ht="18" customHeight="1" spans="1:25">
      <c r="A16" s="51"/>
      <c r="B16" s="52"/>
      <c r="C16" s="53"/>
      <c r="D16" s="54"/>
      <c r="E16" s="37" t="s">
        <v>50</v>
      </c>
      <c r="F16" s="38"/>
      <c r="G16" s="32"/>
      <c r="H16" s="32"/>
      <c r="I16" s="32"/>
      <c r="J16" s="32"/>
      <c r="K16" s="32"/>
      <c r="L16" s="32"/>
      <c r="M16" s="32"/>
      <c r="N16" s="32"/>
      <c r="O16" s="33">
        <f t="shared" si="2"/>
        <v>0</v>
      </c>
      <c r="P16" s="34"/>
      <c r="Q16" s="35"/>
      <c r="R16" s="35"/>
      <c r="S16" s="35"/>
      <c r="T16" s="35"/>
      <c r="U16" s="35"/>
      <c r="V16" s="35"/>
      <c r="W16" s="35"/>
      <c r="X16" s="35"/>
      <c r="Y16" s="35"/>
    </row>
    <row r="17" ht="18" customHeight="1" spans="1:25">
      <c r="A17" s="51"/>
      <c r="B17" s="52"/>
      <c r="C17" s="53"/>
      <c r="D17" s="54"/>
      <c r="E17" s="37" t="s">
        <v>51</v>
      </c>
      <c r="F17" s="38"/>
      <c r="G17" s="32"/>
      <c r="H17" s="32"/>
      <c r="I17" s="32"/>
      <c r="J17" s="32"/>
      <c r="K17" s="32"/>
      <c r="L17" s="32"/>
      <c r="M17" s="32"/>
      <c r="N17" s="32"/>
      <c r="O17" s="33">
        <f t="shared" si="2"/>
        <v>0</v>
      </c>
      <c r="P17" s="34"/>
      <c r="Q17" s="35"/>
      <c r="R17" s="35"/>
      <c r="S17" s="35"/>
      <c r="T17" s="35"/>
      <c r="U17" s="35"/>
      <c r="V17" s="35"/>
      <c r="W17" s="35"/>
      <c r="X17" s="35"/>
      <c r="Y17" s="35"/>
    </row>
    <row r="18" ht="18" customHeight="1" spans="1:25">
      <c r="A18" s="55"/>
      <c r="B18" s="56"/>
      <c r="C18" s="57"/>
      <c r="D18" s="58"/>
      <c r="E18" s="37" t="s">
        <v>73</v>
      </c>
      <c r="F18" s="38"/>
      <c r="G18" s="33">
        <f t="shared" ref="G18:K18" si="3">G14+G15+G16+G17</f>
        <v>0</v>
      </c>
      <c r="H18" s="34">
        <f>SUM(H14:H17)</f>
        <v>0</v>
      </c>
      <c r="I18" s="33">
        <f t="shared" si="3"/>
        <v>0</v>
      </c>
      <c r="J18" s="34"/>
      <c r="K18" s="33">
        <f t="shared" si="3"/>
        <v>0</v>
      </c>
      <c r="L18" s="34"/>
      <c r="M18" s="33">
        <f>M14+M15+M16+M17</f>
        <v>0</v>
      </c>
      <c r="N18" s="34"/>
      <c r="O18" s="33">
        <f t="shared" si="2"/>
        <v>0</v>
      </c>
      <c r="P18" s="34"/>
      <c r="Q18" s="35"/>
      <c r="R18" s="35"/>
      <c r="S18" s="35"/>
      <c r="T18" s="35"/>
      <c r="U18" s="35"/>
      <c r="V18" s="35"/>
      <c r="W18" s="35"/>
      <c r="X18" s="35"/>
      <c r="Y18" s="35"/>
    </row>
    <row r="19" ht="21" customHeight="1" spans="1:25">
      <c r="A19" s="41" t="s">
        <v>71</v>
      </c>
      <c r="B19" s="59" t="s">
        <v>74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/>
      <c r="Q19" s="35"/>
      <c r="R19" s="35"/>
      <c r="S19" s="35"/>
      <c r="T19" s="35"/>
      <c r="U19" s="35"/>
      <c r="V19" s="35"/>
      <c r="W19" s="35"/>
      <c r="X19" s="35"/>
      <c r="Y19" s="35"/>
    </row>
    <row r="20" ht="21" customHeight="1" spans="1:25">
      <c r="A20" s="42"/>
      <c r="B20" s="62" t="s">
        <v>75</v>
      </c>
      <c r="C20" s="62"/>
      <c r="D20" s="62"/>
      <c r="E20" s="63"/>
      <c r="F20" s="64"/>
      <c r="G20" s="65" t="s">
        <v>60</v>
      </c>
      <c r="H20" s="65" t="s">
        <v>61</v>
      </c>
      <c r="I20" s="65" t="s">
        <v>62</v>
      </c>
      <c r="J20" s="65" t="s">
        <v>63</v>
      </c>
      <c r="K20" s="65" t="s">
        <v>64</v>
      </c>
      <c r="L20" s="65"/>
      <c r="M20" s="65" t="s">
        <v>65</v>
      </c>
      <c r="N20" s="65"/>
      <c r="O20" s="65" t="s">
        <v>66</v>
      </c>
      <c r="P20" s="65"/>
      <c r="Q20" s="35"/>
      <c r="R20" s="35"/>
      <c r="S20" s="35"/>
      <c r="T20" s="35"/>
      <c r="U20" s="35"/>
      <c r="V20" s="35"/>
      <c r="W20" s="35"/>
      <c r="X20" s="35"/>
      <c r="Y20" s="35"/>
    </row>
    <row r="21" ht="21" customHeight="1" spans="1:25">
      <c r="A21" s="42"/>
      <c r="B21" s="36"/>
      <c r="C21" s="36"/>
      <c r="D21" s="36"/>
      <c r="E21" s="36" t="s">
        <v>76</v>
      </c>
      <c r="F21" s="36"/>
      <c r="G21" s="32"/>
      <c r="H21" s="32"/>
      <c r="I21" s="32"/>
      <c r="J21" s="32"/>
      <c r="K21" s="32"/>
      <c r="L21" s="32"/>
      <c r="M21" s="32"/>
      <c r="N21" s="32"/>
      <c r="O21" s="40">
        <f>SUM(G21:N21)</f>
        <v>0</v>
      </c>
      <c r="P21" s="40"/>
      <c r="Q21" s="35"/>
      <c r="R21" s="35"/>
      <c r="S21" s="35"/>
      <c r="T21" s="35"/>
      <c r="U21" s="35"/>
      <c r="V21" s="35"/>
      <c r="W21" s="35"/>
      <c r="X21" s="35"/>
      <c r="Y21" s="35"/>
    </row>
    <row r="22" ht="21" customHeight="1" spans="1:25">
      <c r="A22" s="42"/>
      <c r="B22" s="36"/>
      <c r="C22" s="36"/>
      <c r="D22" s="36"/>
      <c r="E22" s="36" t="s">
        <v>77</v>
      </c>
      <c r="F22" s="36"/>
      <c r="G22" s="32"/>
      <c r="H22" s="32"/>
      <c r="I22" s="32"/>
      <c r="J22" s="32"/>
      <c r="K22" s="32"/>
      <c r="L22" s="32"/>
      <c r="M22" s="32"/>
      <c r="N22" s="32"/>
      <c r="O22" s="40">
        <f>G22+I22+K22+M22</f>
        <v>0</v>
      </c>
      <c r="P22" s="40"/>
      <c r="Q22" s="35"/>
      <c r="R22" s="35"/>
      <c r="S22" s="35"/>
      <c r="T22" s="35"/>
      <c r="U22" s="35"/>
      <c r="V22" s="35"/>
      <c r="W22" s="35"/>
      <c r="X22" s="35"/>
      <c r="Y22" s="35"/>
    </row>
    <row r="23" ht="21" customHeight="1" spans="1:25">
      <c r="A23" s="42"/>
      <c r="B23" s="36"/>
      <c r="C23" s="36"/>
      <c r="D23" s="36"/>
      <c r="E23" s="48" t="s">
        <v>78</v>
      </c>
      <c r="F23" s="50"/>
      <c r="G23" s="66"/>
      <c r="H23" s="67"/>
      <c r="I23" s="68"/>
      <c r="J23" s="69"/>
      <c r="K23" s="68"/>
      <c r="L23" s="69"/>
      <c r="M23" s="68"/>
      <c r="N23" s="69"/>
      <c r="O23" s="70">
        <f>SUM(G23:N25)</f>
        <v>0</v>
      </c>
      <c r="P23" s="71"/>
      <c r="Q23" s="35"/>
      <c r="R23" s="35"/>
      <c r="S23" s="35"/>
      <c r="T23" s="35"/>
      <c r="U23" s="35"/>
      <c r="V23" s="35"/>
      <c r="W23" s="35"/>
      <c r="X23" s="35"/>
      <c r="Y23" s="35"/>
    </row>
    <row r="24" ht="21" customHeight="1" spans="1:25">
      <c r="A24" s="42"/>
      <c r="B24" s="36"/>
      <c r="C24" s="36"/>
      <c r="D24" s="36"/>
      <c r="E24" s="52"/>
      <c r="F24" s="54"/>
      <c r="G24" s="72"/>
      <c r="H24" s="73"/>
      <c r="I24" s="74"/>
      <c r="J24" s="75"/>
      <c r="K24" s="74"/>
      <c r="L24" s="75"/>
      <c r="M24" s="74"/>
      <c r="N24" s="75"/>
      <c r="O24" s="76"/>
      <c r="P24" s="77"/>
      <c r="Q24" s="35"/>
      <c r="R24" s="35"/>
      <c r="S24" s="35"/>
      <c r="T24" s="35"/>
      <c r="U24" s="35"/>
      <c r="V24" s="35"/>
      <c r="W24" s="35"/>
      <c r="X24" s="35"/>
      <c r="Y24" s="35"/>
    </row>
    <row r="25" ht="21" customHeight="1" spans="1:25">
      <c r="A25" s="42"/>
      <c r="B25" s="36"/>
      <c r="C25" s="36"/>
      <c r="D25" s="36"/>
      <c r="E25" s="56"/>
      <c r="F25" s="58"/>
      <c r="G25" s="78"/>
      <c r="H25" s="79"/>
      <c r="I25" s="80"/>
      <c r="J25" s="81"/>
      <c r="K25" s="80"/>
      <c r="L25" s="81"/>
      <c r="M25" s="80"/>
      <c r="N25" s="81"/>
      <c r="O25" s="82"/>
      <c r="P25" s="83"/>
    </row>
    <row r="26" ht="18.75" customHeight="1" spans="1:25">
      <c r="A26" s="42"/>
      <c r="B26" s="36"/>
      <c r="C26" s="36"/>
      <c r="D26" s="36"/>
      <c r="E26" s="84" t="s">
        <v>79</v>
      </c>
      <c r="F26" s="84"/>
      <c r="G26" s="32"/>
      <c r="H26" s="32"/>
      <c r="I26" s="32"/>
      <c r="J26" s="32"/>
      <c r="K26" s="32"/>
      <c r="L26" s="32"/>
      <c r="M26" s="32"/>
      <c r="N26" s="32"/>
      <c r="O26" s="40">
        <f t="shared" ref="O26:O28" si="4">SUM(G26:N26)</f>
        <v>0</v>
      </c>
      <c r="P26" s="40"/>
    </row>
    <row r="27" ht="18.75" customHeight="1" spans="1:25">
      <c r="A27" s="42"/>
      <c r="B27" s="36"/>
      <c r="C27" s="36"/>
      <c r="D27" s="36"/>
      <c r="E27" s="85" t="s">
        <v>80</v>
      </c>
      <c r="F27" s="86" t="s">
        <v>11</v>
      </c>
      <c r="G27" s="32"/>
      <c r="H27" s="32"/>
      <c r="I27" s="32"/>
      <c r="J27" s="32"/>
      <c r="K27" s="32"/>
      <c r="L27" s="32"/>
      <c r="M27" s="32"/>
      <c r="N27" s="32"/>
      <c r="O27" s="40">
        <f t="shared" si="4"/>
        <v>0</v>
      </c>
      <c r="P27" s="40"/>
    </row>
    <row r="28" ht="18.75" spans="1:25">
      <c r="A28" s="42"/>
      <c r="B28" s="36"/>
      <c r="C28" s="36"/>
      <c r="D28" s="36"/>
      <c r="E28" s="87"/>
      <c r="F28" s="86" t="s">
        <v>13</v>
      </c>
      <c r="G28" s="32"/>
      <c r="H28" s="32"/>
      <c r="I28" s="32"/>
      <c r="J28" s="32"/>
      <c r="K28" s="32"/>
      <c r="L28" s="32"/>
      <c r="M28" s="32"/>
      <c r="N28" s="32"/>
      <c r="O28" s="40">
        <f t="shared" si="4"/>
        <v>0</v>
      </c>
      <c r="P28" s="40"/>
    </row>
    <row r="29" ht="17.45" customHeight="1" spans="1:25">
      <c r="A29" s="42"/>
      <c r="B29" s="36" t="s">
        <v>81</v>
      </c>
      <c r="C29" s="36"/>
      <c r="D29" s="36"/>
      <c r="E29" s="88" t="s">
        <v>82</v>
      </c>
      <c r="F29" s="89"/>
      <c r="G29" s="32"/>
      <c r="H29" s="32"/>
      <c r="I29" s="32"/>
      <c r="J29" s="32"/>
      <c r="K29" s="32"/>
      <c r="L29" s="32"/>
      <c r="M29" s="32"/>
      <c r="N29" s="32"/>
      <c r="O29" s="40">
        <f>SUM(G29:N30)</f>
        <v>0</v>
      </c>
      <c r="P29" s="40"/>
    </row>
    <row r="30" ht="17.45" customHeight="1" spans="1:25">
      <c r="A30" s="42"/>
      <c r="B30" s="36"/>
      <c r="C30" s="36"/>
      <c r="D30" s="36"/>
      <c r="E30" s="89"/>
      <c r="F30" s="89"/>
      <c r="G30" s="32"/>
      <c r="H30" s="32"/>
      <c r="I30" s="32"/>
      <c r="J30" s="32"/>
      <c r="K30" s="32"/>
      <c r="L30" s="32"/>
      <c r="M30" s="32"/>
      <c r="N30" s="32"/>
      <c r="O30" s="40"/>
      <c r="P30" s="40"/>
    </row>
    <row r="31" ht="17.45" customHeight="1" spans="1:25">
      <c r="A31" s="42"/>
      <c r="B31" s="89" t="s">
        <v>83</v>
      </c>
      <c r="C31" s="89"/>
      <c r="D31" s="89"/>
      <c r="E31" s="89" t="s">
        <v>84</v>
      </c>
      <c r="F31" s="36"/>
      <c r="G31" s="32"/>
      <c r="H31" s="32"/>
      <c r="I31" s="32"/>
      <c r="J31" s="32"/>
      <c r="K31" s="32"/>
      <c r="L31" s="32"/>
      <c r="M31" s="32"/>
      <c r="N31" s="32"/>
      <c r="O31" s="40">
        <f>SUM(G31:N32)</f>
        <v>0</v>
      </c>
      <c r="P31" s="40"/>
    </row>
    <row r="32" ht="17.45" customHeight="1" spans="1:25">
      <c r="A32" s="42"/>
      <c r="B32" s="89"/>
      <c r="C32" s="89"/>
      <c r="D32" s="89"/>
      <c r="E32" s="36"/>
      <c r="F32" s="36"/>
      <c r="G32" s="32"/>
      <c r="H32" s="32"/>
      <c r="I32" s="32"/>
      <c r="J32" s="32"/>
      <c r="K32" s="32"/>
      <c r="L32" s="32"/>
      <c r="M32" s="32"/>
      <c r="N32" s="32"/>
      <c r="O32" s="40"/>
      <c r="P32" s="40"/>
    </row>
    <row r="33" ht="18.75" spans="1:16">
      <c r="A33" s="42"/>
      <c r="B33" s="90" t="s">
        <v>85</v>
      </c>
      <c r="C33" s="90"/>
      <c r="D33" s="90"/>
      <c r="E33" s="90" t="s">
        <v>86</v>
      </c>
      <c r="F33" s="90"/>
      <c r="G33" s="32"/>
      <c r="H33" s="32"/>
      <c r="I33" s="32"/>
      <c r="J33" s="32"/>
      <c r="K33" s="32"/>
      <c r="L33" s="32"/>
      <c r="M33" s="32"/>
      <c r="N33" s="32"/>
      <c r="O33" s="40">
        <f t="shared" ref="O33:O40" si="5">SUM(G33:N33)</f>
        <v>0</v>
      </c>
      <c r="P33" s="40"/>
    </row>
    <row r="34" ht="18.75" spans="1:16">
      <c r="A34" s="42"/>
      <c r="B34" s="90" t="s">
        <v>87</v>
      </c>
      <c r="C34" s="90"/>
      <c r="D34" s="90"/>
      <c r="E34" s="91" t="s">
        <v>88</v>
      </c>
      <c r="F34" s="90"/>
      <c r="G34" s="32"/>
      <c r="H34" s="32"/>
      <c r="I34" s="32"/>
      <c r="J34" s="32"/>
      <c r="K34" s="32"/>
      <c r="L34" s="32"/>
      <c r="M34" s="32"/>
      <c r="N34" s="32"/>
      <c r="O34" s="40">
        <f t="shared" si="5"/>
        <v>0</v>
      </c>
      <c r="P34" s="40"/>
    </row>
    <row r="35" ht="18.75" spans="1:16">
      <c r="A35" s="42"/>
      <c r="B35" s="90" t="s">
        <v>89</v>
      </c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</row>
    <row r="36" ht="17.45" customHeight="1" spans="1:16">
      <c r="A36" s="42"/>
      <c r="B36" s="92" t="s">
        <v>90</v>
      </c>
      <c r="C36" s="93"/>
      <c r="D36" s="93"/>
      <c r="E36" s="89" t="s">
        <v>91</v>
      </c>
      <c r="F36" s="89"/>
      <c r="G36" s="32"/>
      <c r="H36" s="32"/>
      <c r="I36" s="32"/>
      <c r="J36" s="32"/>
      <c r="K36" s="32"/>
      <c r="L36" s="32"/>
      <c r="M36" s="32"/>
      <c r="N36" s="32"/>
      <c r="O36" s="40">
        <f>SUM(G36:N37)</f>
        <v>0</v>
      </c>
      <c r="P36" s="40"/>
    </row>
    <row r="37" ht="17.45" customHeight="1" spans="1:16">
      <c r="A37" s="42"/>
      <c r="B37" s="93"/>
      <c r="C37" s="93"/>
      <c r="D37" s="93"/>
      <c r="E37" s="89"/>
      <c r="F37" s="89"/>
      <c r="G37" s="32"/>
      <c r="H37" s="32"/>
      <c r="I37" s="32"/>
      <c r="J37" s="32"/>
      <c r="K37" s="32"/>
      <c r="L37" s="32"/>
      <c r="M37" s="32"/>
      <c r="N37" s="32"/>
      <c r="O37" s="40"/>
      <c r="P37" s="40"/>
    </row>
    <row r="38" ht="18.75" customHeight="1" spans="1:16">
      <c r="A38" s="42"/>
      <c r="B38" s="36" t="s">
        <v>92</v>
      </c>
      <c r="C38" s="90"/>
      <c r="D38" s="90"/>
      <c r="E38" s="94" t="s">
        <v>93</v>
      </c>
      <c r="F38" s="95"/>
      <c r="G38" s="96"/>
      <c r="H38" s="97"/>
      <c r="I38" s="96"/>
      <c r="J38" s="97"/>
      <c r="K38" s="96"/>
      <c r="L38" s="97"/>
      <c r="M38" s="96"/>
      <c r="N38" s="97"/>
      <c r="O38" s="40">
        <f t="shared" si="5"/>
        <v>0</v>
      </c>
      <c r="P38" s="40"/>
    </row>
    <row r="39" ht="18.75" customHeight="1" spans="1:16">
      <c r="A39" s="42"/>
      <c r="B39" s="90"/>
      <c r="C39" s="90"/>
      <c r="D39" s="90"/>
      <c r="E39" s="94" t="s">
        <v>94</v>
      </c>
      <c r="F39" s="95"/>
      <c r="G39" s="96"/>
      <c r="H39" s="97"/>
      <c r="I39" s="96"/>
      <c r="J39" s="97"/>
      <c r="K39" s="96"/>
      <c r="L39" s="97"/>
      <c r="M39" s="96"/>
      <c r="N39" s="97"/>
      <c r="O39" s="40">
        <f t="shared" si="5"/>
        <v>0</v>
      </c>
      <c r="P39" s="40"/>
    </row>
    <row r="40" ht="18.75" spans="1:16">
      <c r="A40" s="45"/>
      <c r="B40" s="93" t="s">
        <v>95</v>
      </c>
      <c r="C40" s="93"/>
      <c r="D40" s="93"/>
      <c r="E40" s="98" t="s">
        <v>96</v>
      </c>
      <c r="F40" s="98"/>
      <c r="G40" s="32"/>
      <c r="H40" s="32"/>
      <c r="I40" s="32"/>
      <c r="J40" s="32"/>
      <c r="K40" s="32"/>
      <c r="L40" s="32"/>
      <c r="M40" s="32"/>
      <c r="N40" s="32"/>
      <c r="O40" s="40">
        <f t="shared" si="5"/>
        <v>0</v>
      </c>
      <c r="P40" s="40"/>
    </row>
    <row r="41" ht="18" customHeight="1" spans="1:16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65" t="s">
        <v>66</v>
      </c>
      <c r="P41" s="65" t="s">
        <v>67</v>
      </c>
    </row>
    <row r="42" ht="18.75" customHeight="1" spans="1:16">
      <c r="A42" s="100" t="s">
        <v>97</v>
      </c>
      <c r="B42" s="36" t="s">
        <v>98</v>
      </c>
      <c r="C42" s="36"/>
      <c r="D42" s="36"/>
      <c r="E42" s="101" t="s">
        <v>69</v>
      </c>
      <c r="F42" s="90"/>
      <c r="G42" s="102" t="s">
        <v>99</v>
      </c>
      <c r="H42" s="102"/>
      <c r="I42" s="102"/>
      <c r="J42" s="102"/>
      <c r="K42" s="102"/>
      <c r="L42" s="102"/>
      <c r="M42" s="102"/>
      <c r="N42" s="102"/>
      <c r="O42" s="103"/>
      <c r="P42" s="43">
        <f>'2年财报'!K8+O44-O43</f>
        <v>0</v>
      </c>
    </row>
    <row r="43" ht="18.75" customHeight="1" spans="1:16">
      <c r="A43" s="104"/>
      <c r="B43" s="36"/>
      <c r="C43" s="36"/>
      <c r="D43" s="36"/>
      <c r="E43" s="101" t="s">
        <v>100</v>
      </c>
      <c r="F43" s="90"/>
      <c r="G43" s="102" t="s">
        <v>101</v>
      </c>
      <c r="H43" s="102"/>
      <c r="I43" s="102"/>
      <c r="J43" s="102"/>
      <c r="K43" s="102"/>
      <c r="L43" s="102"/>
      <c r="M43" s="102"/>
      <c r="N43" s="102"/>
      <c r="O43" s="103"/>
      <c r="P43" s="44"/>
    </row>
    <row r="44" ht="18.75" customHeight="1" spans="1:16">
      <c r="A44" s="104"/>
      <c r="B44" s="36"/>
      <c r="C44" s="36"/>
      <c r="D44" s="36"/>
      <c r="E44" s="101" t="s">
        <v>102</v>
      </c>
      <c r="F44" s="90"/>
      <c r="G44" s="102" t="s">
        <v>101</v>
      </c>
      <c r="H44" s="102"/>
      <c r="I44" s="102"/>
      <c r="J44" s="102"/>
      <c r="K44" s="102"/>
      <c r="L44" s="102"/>
      <c r="M44" s="102"/>
      <c r="N44" s="102"/>
      <c r="O44" s="103"/>
      <c r="P44" s="46"/>
    </row>
    <row r="45" ht="18.75" customHeight="1" spans="1:16">
      <c r="A45" s="104"/>
      <c r="B45" s="105" t="s">
        <v>141</v>
      </c>
      <c r="C45" s="105"/>
      <c r="D45" s="105"/>
      <c r="E45" s="105"/>
      <c r="F45" s="106"/>
      <c r="G45" s="102" t="s">
        <v>101</v>
      </c>
      <c r="H45" s="102"/>
      <c r="I45" s="102"/>
      <c r="J45" s="102"/>
      <c r="K45" s="102"/>
      <c r="L45" s="102"/>
      <c r="M45" s="102"/>
      <c r="N45" s="102"/>
      <c r="O45" s="32"/>
      <c r="P45" s="32"/>
    </row>
    <row r="46" ht="18.75" customHeight="1" spans="1:16">
      <c r="A46" s="104"/>
      <c r="B46" s="107" t="s">
        <v>142</v>
      </c>
      <c r="C46" s="108"/>
      <c r="D46" s="109"/>
      <c r="E46" s="110" t="s">
        <v>105</v>
      </c>
      <c r="F46" s="111"/>
      <c r="G46" s="112" t="s">
        <v>143</v>
      </c>
      <c r="H46" s="113"/>
      <c r="I46" s="113"/>
      <c r="J46" s="113"/>
      <c r="K46" s="113"/>
      <c r="L46" s="113"/>
      <c r="M46" s="113"/>
      <c r="N46" s="114"/>
      <c r="O46" s="32"/>
      <c r="P46" s="32"/>
    </row>
    <row r="47" ht="18.75" spans="1:16">
      <c r="A47" s="104"/>
      <c r="B47" s="106"/>
      <c r="C47" s="115"/>
      <c r="D47" s="116"/>
      <c r="E47" s="110" t="s">
        <v>107</v>
      </c>
      <c r="F47" s="111"/>
      <c r="G47" s="117"/>
      <c r="H47" s="118"/>
      <c r="I47" s="118"/>
      <c r="J47" s="118"/>
      <c r="K47" s="118"/>
      <c r="L47" s="118"/>
      <c r="M47" s="118"/>
      <c r="N47" s="119"/>
      <c r="O47" s="120"/>
      <c r="P47" s="121"/>
    </row>
    <row r="48" ht="18.75" customHeight="1" spans="1:16">
      <c r="A48" s="104"/>
      <c r="B48" s="90" t="s">
        <v>144</v>
      </c>
      <c r="C48" s="90"/>
      <c r="D48" s="90"/>
      <c r="E48" s="90"/>
      <c r="F48" s="122"/>
      <c r="G48" s="123" t="s">
        <v>145</v>
      </c>
      <c r="H48" s="123"/>
      <c r="I48" s="123"/>
      <c r="J48" s="123"/>
      <c r="K48" s="123"/>
      <c r="L48" s="123"/>
      <c r="M48" s="123"/>
      <c r="N48" s="123"/>
      <c r="O48" s="32"/>
      <c r="P48" s="32"/>
    </row>
    <row r="49" ht="18.75" spans="1:16">
      <c r="A49" s="104"/>
      <c r="B49" s="107" t="s">
        <v>110</v>
      </c>
      <c r="C49" s="108"/>
      <c r="D49" s="108"/>
      <c r="E49" s="108"/>
      <c r="F49" s="108"/>
      <c r="G49" s="124"/>
      <c r="H49" s="102"/>
      <c r="I49" s="102"/>
      <c r="J49" s="102"/>
      <c r="K49" s="102"/>
      <c r="L49" s="102"/>
      <c r="M49" s="102"/>
      <c r="N49" s="102"/>
      <c r="O49" s="29">
        <f>'2年财报'!G7+O27-O23</f>
        <v>3</v>
      </c>
      <c r="P49" s="29"/>
    </row>
    <row r="50" ht="18.75" customHeight="1" spans="1:16">
      <c r="A50" s="104"/>
      <c r="B50" s="36" t="s">
        <v>111</v>
      </c>
      <c r="C50" s="36"/>
      <c r="D50" s="36"/>
      <c r="E50" s="36" t="s">
        <v>112</v>
      </c>
      <c r="F50" s="36"/>
      <c r="G50" s="36"/>
      <c r="H50" s="36"/>
      <c r="I50" s="36"/>
      <c r="J50" s="36"/>
      <c r="K50" s="36"/>
      <c r="L50" s="36"/>
      <c r="M50" s="36"/>
      <c r="N50" s="36"/>
      <c r="O50" s="29">
        <f>'2年财报'!G8+O28</f>
        <v>0</v>
      </c>
      <c r="P50" s="29"/>
    </row>
    <row r="51" ht="18.75" customHeight="1" spans="1:16">
      <c r="A51" s="104"/>
      <c r="B51" s="36"/>
      <c r="C51" s="36"/>
      <c r="D51" s="36"/>
      <c r="E51" s="36" t="s">
        <v>113</v>
      </c>
      <c r="F51" s="36"/>
      <c r="G51" s="36"/>
      <c r="H51" s="36"/>
      <c r="I51" s="36"/>
      <c r="J51" s="36"/>
      <c r="K51" s="36"/>
      <c r="L51" s="36"/>
      <c r="M51" s="36"/>
      <c r="N51" s="36"/>
      <c r="O51" s="40" t="str">
        <f>FIXED(O50/3,0,TRUE)</f>
        <v>0</v>
      </c>
      <c r="P51" s="40"/>
    </row>
    <row r="52" ht="18.75" customHeight="1" spans="1:16">
      <c r="A52" s="104"/>
      <c r="B52" s="36"/>
      <c r="C52" s="36"/>
      <c r="D52" s="36"/>
      <c r="E52" s="36" t="s">
        <v>114</v>
      </c>
      <c r="F52" s="36"/>
      <c r="G52" s="36"/>
      <c r="H52" s="36"/>
      <c r="I52" s="36"/>
      <c r="J52" s="36"/>
      <c r="K52" s="36"/>
      <c r="L52" s="36"/>
      <c r="M52" s="36"/>
      <c r="N52" s="36"/>
      <c r="O52" s="32"/>
      <c r="P52" s="32"/>
    </row>
    <row r="53" ht="18.75" customHeight="1" spans="1:16">
      <c r="A53" s="104"/>
      <c r="B53" s="59" t="s">
        <v>115</v>
      </c>
      <c r="C53" s="60"/>
      <c r="D53" s="61"/>
      <c r="E53" s="59" t="s">
        <v>116</v>
      </c>
      <c r="F53" s="60"/>
      <c r="G53" s="60"/>
      <c r="H53" s="60"/>
      <c r="I53" s="60"/>
      <c r="J53" s="60"/>
      <c r="K53" s="60"/>
      <c r="L53" s="60"/>
      <c r="M53" s="60"/>
      <c r="N53" s="61"/>
      <c r="O53" s="125"/>
      <c r="P53" s="126"/>
    </row>
    <row r="54" ht="18" customHeight="1" spans="1:16">
      <c r="A54" s="127" t="s">
        <v>117</v>
      </c>
      <c r="B54" s="128"/>
      <c r="C54" s="128"/>
      <c r="D54" s="128"/>
      <c r="E54" s="128"/>
      <c r="F54" s="129"/>
      <c r="G54" s="65" t="s">
        <v>60</v>
      </c>
      <c r="H54" s="65" t="s">
        <v>61</v>
      </c>
      <c r="I54" s="65" t="s">
        <v>62</v>
      </c>
      <c r="J54" s="65" t="s">
        <v>63</v>
      </c>
      <c r="K54" s="65" t="s">
        <v>64</v>
      </c>
      <c r="L54" s="65"/>
      <c r="M54" s="65" t="s">
        <v>65</v>
      </c>
      <c r="N54" s="65"/>
      <c r="O54" s="65" t="s">
        <v>66</v>
      </c>
      <c r="P54" s="65"/>
    </row>
    <row r="55" ht="18" customHeight="1" spans="1:16">
      <c r="A55" s="127"/>
      <c r="B55" s="90" t="s">
        <v>118</v>
      </c>
      <c r="C55" s="90"/>
      <c r="D55" s="90"/>
      <c r="E55" s="130" t="s">
        <v>119</v>
      </c>
      <c r="F55" s="131"/>
      <c r="G55" s="103"/>
      <c r="H55" s="103"/>
      <c r="I55" s="103"/>
      <c r="J55" s="103"/>
      <c r="K55" s="103"/>
      <c r="L55" s="103"/>
      <c r="M55" s="103"/>
      <c r="N55" s="103"/>
      <c r="O55" s="132">
        <f>SUM((G55:N56))</f>
        <v>0</v>
      </c>
      <c r="P55" s="132"/>
    </row>
    <row r="56" ht="18" customHeight="1" spans="1:16">
      <c r="A56" s="127"/>
      <c r="B56" s="90"/>
      <c r="C56" s="90"/>
      <c r="D56" s="90"/>
      <c r="E56" s="130"/>
      <c r="F56" s="131"/>
      <c r="G56" s="103"/>
      <c r="H56" s="103"/>
      <c r="I56" s="103"/>
      <c r="J56" s="103"/>
      <c r="K56" s="103"/>
      <c r="L56" s="103"/>
      <c r="M56" s="103"/>
      <c r="N56" s="103"/>
      <c r="O56" s="132"/>
      <c r="P56" s="132"/>
    </row>
    <row r="57" ht="18" customHeight="1" spans="1:16">
      <c r="A57" s="127"/>
      <c r="B57" s="90" t="s">
        <v>120</v>
      </c>
      <c r="C57" s="90"/>
      <c r="D57" s="90"/>
      <c r="E57" s="90"/>
      <c r="F57" s="122"/>
      <c r="G57" s="102" t="s">
        <v>101</v>
      </c>
      <c r="H57" s="102"/>
      <c r="I57" s="102"/>
      <c r="J57" s="102"/>
      <c r="K57" s="102"/>
      <c r="L57" s="102"/>
      <c r="M57" s="102"/>
      <c r="N57" s="102"/>
      <c r="O57" s="133"/>
      <c r="P57" s="134"/>
    </row>
    <row r="58" ht="18" customHeight="1" spans="1:16">
      <c r="A58" s="127"/>
      <c r="B58" s="90" t="s">
        <v>121</v>
      </c>
      <c r="C58" s="90"/>
      <c r="D58" s="90"/>
      <c r="E58" s="90"/>
      <c r="F58" s="122"/>
      <c r="G58" s="102" t="s">
        <v>101</v>
      </c>
      <c r="H58" s="102"/>
      <c r="I58" s="102"/>
      <c r="J58" s="102"/>
      <c r="K58" s="102"/>
      <c r="L58" s="102"/>
      <c r="M58" s="102"/>
      <c r="N58" s="102"/>
      <c r="O58" s="103"/>
      <c r="P58" s="103"/>
    </row>
    <row r="59" ht="18.75" customHeight="1" spans="1:16">
      <c r="B59" s="30" t="s">
        <v>21</v>
      </c>
      <c r="C59" s="135">
        <f>'2年财报'!$G$13+$F$59-$I$59</f>
        <v>35</v>
      </c>
      <c r="D59" s="84" t="s">
        <v>122</v>
      </c>
      <c r="E59" s="84"/>
      <c r="F59" s="33">
        <f>$O$12+$O$23+$O$36+$O$44+$O$47+$O$58</f>
        <v>0</v>
      </c>
      <c r="G59" s="84" t="s">
        <v>123</v>
      </c>
      <c r="H59" s="136"/>
      <c r="I59" s="137">
        <f>$M$1+$P$5+$O$10+$O$11+$O$18+$O$21+$O$22+$O$26+$O$29+$O$31+$O$33+$O$34+$O$40+$O$45+$O$46+$O$42+$O$43+$O$48+$O$53+$O$55+$O$57</f>
        <v>0</v>
      </c>
      <c r="J59" s="138" t="s">
        <v>124</v>
      </c>
      <c r="K59" s="139" t="e">
        <f>$O$5/$P$5</f>
        <v>#DIV/0!</v>
      </c>
      <c r="L59" s="140" t="s">
        <v>125</v>
      </c>
      <c r="M59" s="141" t="e">
        <f>$O$33/($O$38+$O$58)</f>
        <v>#DIV/0!</v>
      </c>
      <c r="N59" s="142" t="s">
        <v>126</v>
      </c>
      <c r="O59" s="143">
        <f>($O$38-$O$39--$O$11-$P$5-$M$1-$O$21-$O$22--$O$29-$O$33-$O$34-$O$42-$O$45-$O$48-$O$53-$O$57+$O$58)/($O$31*7+5)*100</f>
        <v>0</v>
      </c>
    </row>
    <row r="60" ht="18.75" spans="1:16">
      <c r="A60" s="144" t="s">
        <v>27</v>
      </c>
      <c r="B60" s="145"/>
      <c r="C60" s="33">
        <f>$O$11+$O$42+$O$55</f>
        <v>0</v>
      </c>
      <c r="D60" s="138" t="s">
        <v>127</v>
      </c>
      <c r="E60" s="33">
        <f>$O$46-$O$47</f>
        <v>0</v>
      </c>
      <c r="F60" s="146" t="s">
        <v>128</v>
      </c>
      <c r="G60" s="40">
        <f>$O$38-$O$36</f>
        <v>0</v>
      </c>
      <c r="H60" s="147" t="s">
        <v>146</v>
      </c>
      <c r="I60" s="148">
        <f>'3年财报'!$C$22/'3年财报'!$K$19</f>
        <v>0</v>
      </c>
      <c r="J60" s="149" t="s">
        <v>130</v>
      </c>
      <c r="K60" s="148">
        <f>'3年财报'!$C$22/'3年财报'!$G$22</f>
        <v>0</v>
      </c>
      <c r="L60" s="150"/>
      <c r="M60" s="151"/>
      <c r="N60" s="150"/>
      <c r="O60" s="152"/>
      <c r="P60" s="153"/>
    </row>
    <row r="61" ht="18.75" spans="1:16">
      <c r="A61" s="144" t="s">
        <v>30</v>
      </c>
      <c r="B61" s="145"/>
      <c r="C61" s="33">
        <f>$O$58-$O$57</f>
        <v>0</v>
      </c>
      <c r="D61" s="154" t="s">
        <v>131</v>
      </c>
      <c r="E61" s="33">
        <f>$O$27-$O$23</f>
        <v>0</v>
      </c>
      <c r="F61" s="154" t="s">
        <v>132</v>
      </c>
      <c r="G61" s="40">
        <f>$O$28-$O$51</f>
        <v>0</v>
      </c>
      <c r="H61" s="155" t="s">
        <v>133</v>
      </c>
      <c r="I61" s="148" t="e">
        <f>'3年财报'!$C$22/'3年财报'!$C$4</f>
        <v>#DIV/0!</v>
      </c>
      <c r="J61" s="147" t="s">
        <v>134</v>
      </c>
      <c r="K61" s="148" t="e">
        <f>1-'3年财报'!$C$5/'3年财报'!$C$4</f>
        <v>#DIV/0!</v>
      </c>
      <c r="L61" s="151"/>
      <c r="M61" s="151"/>
      <c r="N61" s="151"/>
      <c r="O61" s="151"/>
      <c r="P61" s="153"/>
    </row>
    <row r="62" ht="14.25" spans="1:16">
      <c r="A62" s="153"/>
      <c r="B62" s="153"/>
      <c r="C62" s="153"/>
      <c r="D62" s="156"/>
      <c r="E62" s="153"/>
      <c r="F62" s="153"/>
      <c r="G62" s="153"/>
      <c r="H62" s="157"/>
      <c r="I62" s="158"/>
      <c r="J62" s="150"/>
      <c r="K62" s="158"/>
      <c r="L62" s="153"/>
      <c r="M62" s="153"/>
      <c r="N62" s="153"/>
      <c r="O62" s="153"/>
      <c r="P62" s="153"/>
    </row>
    <row r="63" ht="14.25" spans="1:16">
      <c r="A63" s="153"/>
      <c r="B63" s="153"/>
      <c r="C63" s="153"/>
      <c r="D63" s="156"/>
      <c r="E63" s="153"/>
      <c r="F63" s="153"/>
      <c r="G63" s="153"/>
      <c r="H63" s="157"/>
      <c r="I63" s="158"/>
      <c r="J63" s="150"/>
      <c r="K63" s="158"/>
      <c r="L63" s="153"/>
      <c r="M63" s="153"/>
      <c r="N63" s="153"/>
      <c r="O63" s="153"/>
      <c r="P63" s="153"/>
    </row>
    <row r="64" ht="14.25" spans="1:16">
      <c r="A64" s="153"/>
      <c r="B64" s="153"/>
      <c r="C64" s="153"/>
      <c r="D64" s="156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</row>
    <row r="65" ht="14.25" spans="1:16">
      <c r="A65" s="153"/>
      <c r="B65" s="153"/>
      <c r="C65" s="153"/>
      <c r="D65" s="156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</row>
    <row r="66" ht="14.25" spans="1:16">
      <c r="A66" s="153"/>
      <c r="B66" s="153"/>
      <c r="C66" s="153"/>
      <c r="D66" s="156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</row>
    <row r="67" ht="14.25" spans="1:16">
      <c r="A67" s="153"/>
      <c r="B67" s="153"/>
      <c r="C67" s="153"/>
      <c r="D67" s="156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</row>
    <row r="68" ht="14.25" spans="1:16">
      <c r="A68" s="153"/>
      <c r="B68" s="153"/>
      <c r="C68" s="153"/>
      <c r="D68" s="156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</row>
    <row r="69" ht="14.25" spans="1:16">
      <c r="A69" s="153"/>
      <c r="B69" s="153"/>
      <c r="C69" s="153"/>
      <c r="D69" s="156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</row>
  </sheetData>
  <mergeCells count="265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D59:E59"/>
    <mergeCell ref="G59:H59"/>
    <mergeCell ref="A60:B60"/>
    <mergeCell ref="A61:B61"/>
    <mergeCell ref="A1:A8"/>
    <mergeCell ref="A9:A12"/>
    <mergeCell ref="A13:A18"/>
    <mergeCell ref="A19:A40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"/>
  <sheetViews>
    <sheetView zoomScale="130" zoomScaleNormal="130" workbookViewId="0">
      <selection activeCell="H14" sqref="H14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'3年经营'!O38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'3年经营'!O39</f>
        <v>0</v>
      </c>
      <c r="D5" s="5"/>
      <c r="E5" s="5"/>
      <c r="F5" s="9" t="s">
        <v>8</v>
      </c>
      <c r="G5" s="10">
        <f>'3年经营'!O52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'2年财报'!G6+'3年经营'!E60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'2年财报'!G7+'3年经营'!E61</f>
        <v>3</v>
      </c>
      <c r="H7" s="5"/>
      <c r="I7" s="5"/>
      <c r="J7" s="9" t="s">
        <v>12</v>
      </c>
      <c r="K7" s="10">
        <f>'3年经营'!P10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'2年财报'!G8+'3年经营'!G61</f>
        <v>0</v>
      </c>
      <c r="H8" s="5"/>
      <c r="I8" s="5"/>
      <c r="J8" s="9" t="s">
        <v>14</v>
      </c>
      <c r="K8" s="10">
        <f>'3年经营'!P42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135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'3年经营'!O2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'3年经营'!O51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'3年经营'!C59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'2年财报'!G14+'3年经营'!O38-'3年经营'!O36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'2年财报'!K15</f>
        <v>50</v>
      </c>
      <c r="L15" s="5"/>
    </row>
    <row r="16" s="1" customFormat="1" ht="20.1" customHeight="1" spans="2:12">
      <c r="B16" s="9" t="s">
        <v>27</v>
      </c>
      <c r="C16" s="10">
        <f>'3年经营'!C60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'2年财报'!K16+'2年财报'!K17</f>
        <v>19</v>
      </c>
    </row>
    <row r="17" s="1" customFormat="1" ht="20.1" customHeight="1" spans="2:11">
      <c r="B17" s="9" t="s">
        <v>30</v>
      </c>
      <c r="C17" s="10">
        <f>'3年经营'!C61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4" ht="21.95" customHeight="1" spans="2:11">
      <c r="B24" s="19" t="s">
        <v>136</v>
      </c>
      <c r="C24" s="20"/>
      <c r="D24" s="21" t="s">
        <v>137</v>
      </c>
    </row>
    <row r="25" ht="21.95" customHeight="1" spans="2:11">
      <c r="B25" s="19" t="s">
        <v>138</v>
      </c>
      <c r="C25" s="22"/>
      <c r="D25" s="21"/>
    </row>
    <row r="26" ht="20.1" customHeight="1" spans="2:11">
      <c r="B26" s="19" t="s">
        <v>139</v>
      </c>
      <c r="C26" s="23"/>
      <c r="D26" s="21"/>
    </row>
  </sheetData>
  <mergeCells count="10">
    <mergeCell ref="B2:C2"/>
    <mergeCell ref="F2:K2"/>
    <mergeCell ref="F3:G3"/>
    <mergeCell ref="J3:K3"/>
    <mergeCell ref="F4:G4"/>
    <mergeCell ref="J4:K4"/>
    <mergeCell ref="F11:G11"/>
    <mergeCell ref="J13:K13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28" workbookViewId="0">
      <selection activeCell="C59" sqref="C59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24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25" t="s">
        <v>40</v>
      </c>
      <c r="B1" s="26" t="s">
        <v>41</v>
      </c>
      <c r="C1" s="27"/>
      <c r="D1" s="28"/>
      <c r="E1" s="26" t="s">
        <v>42</v>
      </c>
      <c r="F1" s="27"/>
      <c r="G1" s="27"/>
      <c r="H1" s="27"/>
      <c r="I1" s="27"/>
      <c r="J1" s="27"/>
      <c r="K1" s="27"/>
      <c r="L1" s="28"/>
      <c r="M1" s="29" t="str">
        <f>'3年财报'!C21</f>
        <v>0</v>
      </c>
      <c r="N1" s="29"/>
      <c r="O1" s="30" t="s">
        <v>16</v>
      </c>
      <c r="P1" s="30"/>
    </row>
    <row r="2" ht="18" customHeight="1" spans="1:25">
      <c r="A2" s="25"/>
      <c r="B2" s="26" t="s">
        <v>43</v>
      </c>
      <c r="C2" s="27"/>
      <c r="D2" s="28"/>
      <c r="E2" s="26" t="s">
        <v>44</v>
      </c>
      <c r="F2" s="27"/>
      <c r="G2" s="27"/>
      <c r="H2" s="27"/>
      <c r="I2" s="27"/>
      <c r="J2" s="27"/>
      <c r="K2" s="31" t="s">
        <v>45</v>
      </c>
      <c r="L2" s="31"/>
      <c r="M2" s="32"/>
      <c r="N2" s="32"/>
      <c r="O2" s="33">
        <f>P5+O21+O22+O29+O33+O34+O40+O45+O48+O53</f>
        <v>0</v>
      </c>
      <c r="P2" s="34"/>
      <c r="Q2" s="35"/>
      <c r="R2" s="35"/>
      <c r="S2" s="35"/>
      <c r="T2" s="35"/>
      <c r="U2" s="35"/>
      <c r="V2" s="35"/>
      <c r="W2" s="35"/>
      <c r="X2" s="35"/>
      <c r="Y2" s="35"/>
    </row>
    <row r="3" ht="18" customHeight="1" spans="1:25">
      <c r="A3" s="25"/>
      <c r="B3" s="36" t="s">
        <v>46</v>
      </c>
      <c r="C3" s="36"/>
      <c r="D3" s="31" t="s">
        <v>47</v>
      </c>
      <c r="E3" s="31" t="s">
        <v>48</v>
      </c>
      <c r="F3" s="31"/>
      <c r="G3" s="31" t="s">
        <v>49</v>
      </c>
      <c r="H3" s="31"/>
      <c r="I3" s="37" t="s">
        <v>50</v>
      </c>
      <c r="J3" s="38"/>
      <c r="K3" s="31" t="s">
        <v>51</v>
      </c>
      <c r="L3" s="31"/>
      <c r="M3" s="31" t="s">
        <v>52</v>
      </c>
      <c r="N3" s="31"/>
      <c r="O3" s="39" t="s">
        <v>53</v>
      </c>
      <c r="P3" s="39" t="s">
        <v>54</v>
      </c>
      <c r="Q3" s="35"/>
      <c r="R3" s="35"/>
      <c r="S3" s="35"/>
      <c r="T3" s="35"/>
      <c r="U3" s="35"/>
      <c r="V3" s="35"/>
      <c r="W3" s="35"/>
      <c r="X3" s="35"/>
      <c r="Y3" s="35"/>
    </row>
    <row r="4" ht="18" customHeight="1" spans="1:25">
      <c r="A4" s="25"/>
      <c r="B4" s="36"/>
      <c r="C4" s="36"/>
      <c r="D4" s="31"/>
      <c r="E4" s="31" t="s">
        <v>55</v>
      </c>
      <c r="F4" s="31"/>
      <c r="G4" s="31" t="s">
        <v>55</v>
      </c>
      <c r="H4" s="31"/>
      <c r="I4" s="31" t="s">
        <v>55</v>
      </c>
      <c r="J4" s="31"/>
      <c r="K4" s="31" t="s">
        <v>55</v>
      </c>
      <c r="L4" s="31"/>
      <c r="M4" s="31"/>
      <c r="N4" s="31"/>
      <c r="O4" s="39"/>
      <c r="P4" s="39"/>
      <c r="Q4" s="35"/>
      <c r="R4" s="35"/>
      <c r="S4" s="35"/>
      <c r="T4" s="35"/>
      <c r="U4" s="35"/>
      <c r="V4" s="35"/>
      <c r="W4" s="35"/>
      <c r="X4" s="35"/>
      <c r="Y4" s="35"/>
    </row>
    <row r="5" ht="18" customHeight="1" spans="1:25">
      <c r="A5" s="25"/>
      <c r="B5" s="36"/>
      <c r="C5" s="36"/>
      <c r="D5" s="31" t="s">
        <v>56</v>
      </c>
      <c r="E5" s="32"/>
      <c r="F5" s="32"/>
      <c r="G5" s="32"/>
      <c r="H5" s="32"/>
      <c r="I5" s="32"/>
      <c r="J5" s="32"/>
      <c r="K5" s="32"/>
      <c r="L5" s="32"/>
      <c r="M5" s="40">
        <f t="shared" ref="M5:M8" si="0">SUM(E5:L5)</f>
        <v>0</v>
      </c>
      <c r="N5" s="40"/>
      <c r="O5" s="40">
        <f>SUM(M5:N8)</f>
        <v>0</v>
      </c>
      <c r="P5" s="32"/>
      <c r="Q5" s="35"/>
      <c r="R5" s="35"/>
      <c r="S5" s="35"/>
      <c r="T5" s="35"/>
      <c r="U5" s="35"/>
      <c r="V5" s="35"/>
      <c r="W5" s="35"/>
      <c r="X5" s="35"/>
      <c r="Y5" s="35"/>
    </row>
    <row r="6" ht="18" customHeight="1" spans="1:25">
      <c r="A6" s="25"/>
      <c r="B6" s="36"/>
      <c r="C6" s="36"/>
      <c r="D6" s="31" t="s">
        <v>47</v>
      </c>
      <c r="E6" s="32"/>
      <c r="F6" s="32"/>
      <c r="G6" s="32"/>
      <c r="H6" s="32"/>
      <c r="I6" s="32"/>
      <c r="J6" s="32"/>
      <c r="K6" s="32"/>
      <c r="L6" s="32"/>
      <c r="M6" s="40">
        <f t="shared" si="0"/>
        <v>0</v>
      </c>
      <c r="N6" s="40"/>
      <c r="O6" s="40"/>
      <c r="P6" s="32"/>
      <c r="Q6" s="35"/>
      <c r="R6" s="35"/>
      <c r="S6" s="35"/>
      <c r="T6" s="35"/>
      <c r="U6" s="35"/>
      <c r="V6" s="35"/>
      <c r="W6" s="35"/>
      <c r="X6" s="35"/>
      <c r="Y6" s="35"/>
    </row>
    <row r="7" ht="18" customHeight="1" spans="1:25">
      <c r="A7" s="25"/>
      <c r="B7" s="36"/>
      <c r="C7" s="36"/>
      <c r="D7" s="31" t="s">
        <v>57</v>
      </c>
      <c r="E7" s="32"/>
      <c r="F7" s="32"/>
      <c r="G7" s="32"/>
      <c r="H7" s="32"/>
      <c r="I7" s="32"/>
      <c r="J7" s="32"/>
      <c r="K7" s="32"/>
      <c r="L7" s="32"/>
      <c r="M7" s="40">
        <f t="shared" si="0"/>
        <v>0</v>
      </c>
      <c r="N7" s="40"/>
      <c r="O7" s="40"/>
      <c r="P7" s="32"/>
      <c r="Q7" s="24"/>
      <c r="R7" s="35"/>
      <c r="S7" s="35"/>
      <c r="T7" s="35"/>
      <c r="U7" s="35"/>
      <c r="V7" s="35"/>
      <c r="W7" s="35"/>
      <c r="X7" s="35"/>
      <c r="Y7" s="35"/>
    </row>
    <row r="8" ht="18" customHeight="1" spans="1:25">
      <c r="A8" s="25"/>
      <c r="B8" s="36"/>
      <c r="C8" s="36"/>
      <c r="D8" s="31" t="s">
        <v>58</v>
      </c>
      <c r="E8" s="32"/>
      <c r="F8" s="32"/>
      <c r="G8" s="32"/>
      <c r="H8" s="32"/>
      <c r="I8" s="32"/>
      <c r="J8" s="32"/>
      <c r="K8" s="32"/>
      <c r="L8" s="32"/>
      <c r="M8" s="40">
        <f t="shared" si="0"/>
        <v>0</v>
      </c>
      <c r="N8" s="40"/>
      <c r="O8" s="40"/>
      <c r="P8" s="32"/>
      <c r="Q8" s="24"/>
      <c r="R8" s="35"/>
      <c r="S8" s="35"/>
      <c r="T8" s="35"/>
      <c r="U8" s="35"/>
      <c r="V8" s="35"/>
      <c r="W8" s="35"/>
      <c r="X8" s="35"/>
      <c r="Y8" s="35"/>
    </row>
    <row r="9" ht="18" customHeight="1" spans="1:25">
      <c r="A9" s="41" t="s">
        <v>140</v>
      </c>
      <c r="B9" s="36" t="s">
        <v>59</v>
      </c>
      <c r="C9" s="36"/>
      <c r="D9" s="36"/>
      <c r="E9" s="31"/>
      <c r="F9" s="31"/>
      <c r="G9" s="31" t="s">
        <v>60</v>
      </c>
      <c r="H9" s="31" t="s">
        <v>61</v>
      </c>
      <c r="I9" s="31" t="s">
        <v>62</v>
      </c>
      <c r="J9" s="31" t="s">
        <v>63</v>
      </c>
      <c r="K9" s="31" t="s">
        <v>64</v>
      </c>
      <c r="L9" s="31"/>
      <c r="M9" s="31" t="s">
        <v>65</v>
      </c>
      <c r="N9" s="31"/>
      <c r="O9" s="31" t="s">
        <v>66</v>
      </c>
      <c r="P9" s="31" t="s">
        <v>67</v>
      </c>
      <c r="Q9" s="35"/>
      <c r="R9" s="35"/>
      <c r="S9" s="35"/>
      <c r="T9" s="35"/>
      <c r="U9" s="35"/>
      <c r="V9" s="35"/>
      <c r="W9" s="35"/>
      <c r="X9" s="35"/>
      <c r="Y9" s="35"/>
    </row>
    <row r="10" ht="18" customHeight="1" spans="1:25">
      <c r="A10" s="42"/>
      <c r="B10" s="36"/>
      <c r="C10" s="36"/>
      <c r="D10" s="36"/>
      <c r="E10" s="31" t="s">
        <v>68</v>
      </c>
      <c r="F10" s="31"/>
      <c r="G10" s="32"/>
      <c r="H10" s="32"/>
      <c r="I10" s="32"/>
      <c r="J10" s="32"/>
      <c r="K10" s="32"/>
      <c r="L10" s="32"/>
      <c r="M10" s="32"/>
      <c r="N10" s="32"/>
      <c r="O10" s="40">
        <f t="shared" ref="O10:O12" si="1">SUM(G10:N10)</f>
        <v>0</v>
      </c>
      <c r="P10" s="43">
        <f>'3年财报'!K7+O12-O10</f>
        <v>20</v>
      </c>
      <c r="Q10" s="35"/>
      <c r="R10" s="35"/>
      <c r="S10" s="35"/>
      <c r="T10" s="35"/>
      <c r="U10" s="35"/>
      <c r="V10" s="35"/>
      <c r="W10" s="35"/>
      <c r="X10" s="35"/>
      <c r="Y10" s="35"/>
    </row>
    <row r="11" ht="18" customHeight="1" spans="1:25">
      <c r="A11" s="42"/>
      <c r="B11" s="36"/>
      <c r="C11" s="36"/>
      <c r="D11" s="36"/>
      <c r="E11" s="31" t="s">
        <v>69</v>
      </c>
      <c r="F11" s="31"/>
      <c r="G11" s="32"/>
      <c r="H11" s="32"/>
      <c r="I11" s="32"/>
      <c r="J11" s="32"/>
      <c r="K11" s="32"/>
      <c r="L11" s="32"/>
      <c r="M11" s="32"/>
      <c r="N11" s="32"/>
      <c r="O11" s="40">
        <f t="shared" si="1"/>
        <v>0</v>
      </c>
      <c r="P11" s="44"/>
      <c r="Q11" s="35"/>
      <c r="R11" s="35"/>
      <c r="S11" s="35"/>
      <c r="T11" s="35"/>
      <c r="U11" s="35"/>
      <c r="V11" s="35"/>
      <c r="W11" s="35"/>
      <c r="X11" s="35"/>
      <c r="Y11" s="35"/>
    </row>
    <row r="12" ht="18" customHeight="1" spans="1:25">
      <c r="A12" s="45"/>
      <c r="B12" s="36"/>
      <c r="C12" s="36"/>
      <c r="D12" s="36"/>
      <c r="E12" s="31" t="s">
        <v>70</v>
      </c>
      <c r="F12" s="31"/>
      <c r="G12" s="32"/>
      <c r="H12" s="32"/>
      <c r="I12" s="32"/>
      <c r="J12" s="32"/>
      <c r="K12" s="32"/>
      <c r="L12" s="32"/>
      <c r="M12" s="32"/>
      <c r="N12" s="32"/>
      <c r="O12" s="40">
        <f t="shared" si="1"/>
        <v>0</v>
      </c>
      <c r="P12" s="46"/>
      <c r="Q12" s="35"/>
      <c r="R12" s="35"/>
      <c r="S12" s="35"/>
      <c r="T12" s="35"/>
      <c r="U12" s="35"/>
      <c r="V12" s="35"/>
      <c r="W12" s="35"/>
      <c r="X12" s="35"/>
      <c r="Y12" s="35"/>
    </row>
    <row r="13" ht="18" customHeight="1" spans="1:25">
      <c r="A13" s="47" t="s">
        <v>71</v>
      </c>
      <c r="B13" s="48" t="s">
        <v>72</v>
      </c>
      <c r="C13" s="49"/>
      <c r="D13" s="50"/>
      <c r="E13" s="37"/>
      <c r="F13" s="38"/>
      <c r="G13" s="31" t="s">
        <v>60</v>
      </c>
      <c r="H13" s="31" t="s">
        <v>61</v>
      </c>
      <c r="I13" s="31" t="s">
        <v>62</v>
      </c>
      <c r="J13" s="31" t="s">
        <v>63</v>
      </c>
      <c r="K13" s="31" t="s">
        <v>64</v>
      </c>
      <c r="L13" s="31"/>
      <c r="M13" s="31" t="s">
        <v>65</v>
      </c>
      <c r="N13" s="31"/>
      <c r="O13" s="31" t="s">
        <v>66</v>
      </c>
      <c r="P13" s="31"/>
      <c r="Q13" s="35"/>
      <c r="R13" s="35"/>
      <c r="S13" s="35"/>
      <c r="T13" s="35"/>
      <c r="U13" s="35"/>
      <c r="V13" s="35"/>
      <c r="W13" s="35"/>
      <c r="X13" s="35"/>
      <c r="Y13" s="35"/>
    </row>
    <row r="14" ht="18" customHeight="1" spans="1:25">
      <c r="A14" s="51"/>
      <c r="B14" s="52"/>
      <c r="C14" s="53"/>
      <c r="D14" s="54"/>
      <c r="E14" s="37" t="s">
        <v>48</v>
      </c>
      <c r="F14" s="38"/>
      <c r="G14" s="32"/>
      <c r="H14" s="32"/>
      <c r="I14" s="32"/>
      <c r="J14" s="32"/>
      <c r="K14" s="32"/>
      <c r="L14" s="32"/>
      <c r="M14" s="32"/>
      <c r="N14" s="32"/>
      <c r="O14" s="33">
        <f t="shared" ref="O14:O18" si="2">G14+I14+K14+M14</f>
        <v>0</v>
      </c>
      <c r="P14" s="34"/>
      <c r="Q14" s="35"/>
      <c r="R14" s="35"/>
      <c r="S14" s="35"/>
      <c r="T14" s="35"/>
      <c r="U14" s="35"/>
      <c r="V14" s="35"/>
      <c r="W14" s="35"/>
      <c r="X14" s="35"/>
      <c r="Y14" s="35"/>
    </row>
    <row r="15" ht="18" customHeight="1" spans="1:25">
      <c r="A15" s="51"/>
      <c r="B15" s="52"/>
      <c r="C15" s="53"/>
      <c r="D15" s="54"/>
      <c r="E15" s="37" t="s">
        <v>49</v>
      </c>
      <c r="F15" s="38"/>
      <c r="G15" s="32"/>
      <c r="H15" s="32"/>
      <c r="I15" s="32"/>
      <c r="J15" s="32"/>
      <c r="K15" s="32"/>
      <c r="L15" s="32"/>
      <c r="M15" s="32"/>
      <c r="N15" s="32"/>
      <c r="O15" s="33">
        <f t="shared" si="2"/>
        <v>0</v>
      </c>
      <c r="P15" s="34"/>
      <c r="Q15" s="35"/>
      <c r="R15" s="35"/>
      <c r="S15" s="35"/>
      <c r="T15" s="35"/>
      <c r="U15" s="35"/>
      <c r="V15" s="35"/>
      <c r="W15" s="35"/>
      <c r="X15" s="35"/>
      <c r="Y15" s="35"/>
    </row>
    <row r="16" ht="18" customHeight="1" spans="1:25">
      <c r="A16" s="51"/>
      <c r="B16" s="52"/>
      <c r="C16" s="53"/>
      <c r="D16" s="54"/>
      <c r="E16" s="37" t="s">
        <v>50</v>
      </c>
      <c r="F16" s="38"/>
      <c r="G16" s="32"/>
      <c r="H16" s="32"/>
      <c r="I16" s="32"/>
      <c r="J16" s="32"/>
      <c r="K16" s="32"/>
      <c r="L16" s="32"/>
      <c r="M16" s="32"/>
      <c r="N16" s="32"/>
      <c r="O16" s="33">
        <f t="shared" si="2"/>
        <v>0</v>
      </c>
      <c r="P16" s="34"/>
      <c r="Q16" s="35"/>
      <c r="R16" s="35"/>
      <c r="S16" s="35"/>
      <c r="T16" s="35"/>
      <c r="U16" s="35"/>
      <c r="V16" s="35"/>
      <c r="W16" s="35"/>
      <c r="X16" s="35"/>
      <c r="Y16" s="35"/>
    </row>
    <row r="17" ht="18" customHeight="1" spans="1:25">
      <c r="A17" s="51"/>
      <c r="B17" s="52"/>
      <c r="C17" s="53"/>
      <c r="D17" s="54"/>
      <c r="E17" s="37" t="s">
        <v>51</v>
      </c>
      <c r="F17" s="38"/>
      <c r="G17" s="32"/>
      <c r="H17" s="32"/>
      <c r="I17" s="32"/>
      <c r="J17" s="32"/>
      <c r="K17" s="32"/>
      <c r="L17" s="32"/>
      <c r="M17" s="32"/>
      <c r="N17" s="32"/>
      <c r="O17" s="33">
        <f t="shared" si="2"/>
        <v>0</v>
      </c>
      <c r="P17" s="34"/>
      <c r="Q17" s="35"/>
      <c r="R17" s="35"/>
      <c r="S17" s="35"/>
      <c r="T17" s="35"/>
      <c r="U17" s="35"/>
      <c r="V17" s="35"/>
      <c r="W17" s="35"/>
      <c r="X17" s="35"/>
      <c r="Y17" s="35"/>
    </row>
    <row r="18" ht="18" customHeight="1" spans="1:25">
      <c r="A18" s="55"/>
      <c r="B18" s="56"/>
      <c r="C18" s="57"/>
      <c r="D18" s="58"/>
      <c r="E18" s="37" t="s">
        <v>73</v>
      </c>
      <c r="F18" s="38"/>
      <c r="G18" s="33">
        <f t="shared" ref="G18:K18" si="3">G14+G15+G16+G17</f>
        <v>0</v>
      </c>
      <c r="H18" s="34">
        <f>SUM(H14:H17)</f>
        <v>0</v>
      </c>
      <c r="I18" s="33">
        <f t="shared" si="3"/>
        <v>0</v>
      </c>
      <c r="J18" s="34"/>
      <c r="K18" s="33">
        <f t="shared" si="3"/>
        <v>0</v>
      </c>
      <c r="L18" s="34"/>
      <c r="M18" s="33">
        <f>M14+M15+M16+M17</f>
        <v>0</v>
      </c>
      <c r="N18" s="34"/>
      <c r="O18" s="33">
        <f t="shared" si="2"/>
        <v>0</v>
      </c>
      <c r="P18" s="34"/>
      <c r="Q18" s="35"/>
      <c r="R18" s="35"/>
      <c r="S18" s="35"/>
      <c r="T18" s="35"/>
      <c r="U18" s="35"/>
      <c r="V18" s="35"/>
      <c r="W18" s="35"/>
      <c r="X18" s="35"/>
      <c r="Y18" s="35"/>
    </row>
    <row r="19" ht="21" customHeight="1" spans="1:25">
      <c r="A19" s="41" t="s">
        <v>71</v>
      </c>
      <c r="B19" s="59" t="s">
        <v>74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/>
      <c r="Q19" s="35"/>
      <c r="R19" s="35"/>
      <c r="S19" s="35"/>
      <c r="T19" s="35"/>
      <c r="U19" s="35"/>
      <c r="V19" s="35"/>
      <c r="W19" s="35"/>
      <c r="X19" s="35"/>
      <c r="Y19" s="35"/>
    </row>
    <row r="20" ht="21" customHeight="1" spans="1:25">
      <c r="A20" s="42"/>
      <c r="B20" s="62" t="s">
        <v>75</v>
      </c>
      <c r="C20" s="62"/>
      <c r="D20" s="62"/>
      <c r="E20" s="63"/>
      <c r="F20" s="64"/>
      <c r="G20" s="65" t="s">
        <v>60</v>
      </c>
      <c r="H20" s="65" t="s">
        <v>61</v>
      </c>
      <c r="I20" s="65" t="s">
        <v>62</v>
      </c>
      <c r="J20" s="65" t="s">
        <v>63</v>
      </c>
      <c r="K20" s="65" t="s">
        <v>64</v>
      </c>
      <c r="L20" s="65"/>
      <c r="M20" s="65" t="s">
        <v>65</v>
      </c>
      <c r="N20" s="65"/>
      <c r="O20" s="65" t="s">
        <v>66</v>
      </c>
      <c r="P20" s="65"/>
      <c r="Q20" s="35"/>
      <c r="R20" s="35"/>
      <c r="S20" s="35"/>
      <c r="T20" s="35"/>
      <c r="U20" s="35"/>
      <c r="V20" s="35"/>
      <c r="W20" s="35"/>
      <c r="X20" s="35"/>
      <c r="Y20" s="35"/>
    </row>
    <row r="21" ht="21" customHeight="1" spans="1:25">
      <c r="A21" s="42"/>
      <c r="B21" s="36"/>
      <c r="C21" s="36"/>
      <c r="D21" s="36"/>
      <c r="E21" s="36" t="s">
        <v>76</v>
      </c>
      <c r="F21" s="36"/>
      <c r="G21" s="32"/>
      <c r="H21" s="32"/>
      <c r="I21" s="32"/>
      <c r="J21" s="32"/>
      <c r="K21" s="32"/>
      <c r="L21" s="32"/>
      <c r="M21" s="32"/>
      <c r="N21" s="32"/>
      <c r="O21" s="40">
        <f>SUM(G21:N21)</f>
        <v>0</v>
      </c>
      <c r="P21" s="40"/>
      <c r="Q21" s="35"/>
      <c r="R21" s="35"/>
      <c r="S21" s="35"/>
      <c r="T21" s="35"/>
      <c r="U21" s="35"/>
      <c r="V21" s="35"/>
      <c r="W21" s="35"/>
      <c r="X21" s="35"/>
      <c r="Y21" s="35"/>
    </row>
    <row r="22" ht="21" customHeight="1" spans="1:25">
      <c r="A22" s="42"/>
      <c r="B22" s="36"/>
      <c r="C22" s="36"/>
      <c r="D22" s="36"/>
      <c r="E22" s="36" t="s">
        <v>77</v>
      </c>
      <c r="F22" s="36"/>
      <c r="G22" s="32"/>
      <c r="H22" s="32"/>
      <c r="I22" s="32"/>
      <c r="J22" s="32"/>
      <c r="K22" s="32"/>
      <c r="L22" s="32"/>
      <c r="M22" s="32"/>
      <c r="N22" s="32"/>
      <c r="O22" s="40">
        <f>G22+I22+K22+M22</f>
        <v>0</v>
      </c>
      <c r="P22" s="40"/>
      <c r="Q22" s="35"/>
      <c r="R22" s="35"/>
      <c r="S22" s="35"/>
      <c r="T22" s="35"/>
      <c r="U22" s="35"/>
      <c r="V22" s="35"/>
      <c r="W22" s="35"/>
      <c r="X22" s="35"/>
      <c r="Y22" s="35"/>
    </row>
    <row r="23" ht="21" customHeight="1" spans="1:25">
      <c r="A23" s="42"/>
      <c r="B23" s="36"/>
      <c r="C23" s="36"/>
      <c r="D23" s="36"/>
      <c r="E23" s="48" t="s">
        <v>78</v>
      </c>
      <c r="F23" s="50"/>
      <c r="G23" s="66"/>
      <c r="H23" s="67"/>
      <c r="I23" s="68"/>
      <c r="J23" s="69"/>
      <c r="K23" s="68"/>
      <c r="L23" s="69"/>
      <c r="M23" s="68"/>
      <c r="N23" s="69"/>
      <c r="O23" s="70">
        <f>SUM(G23:N25)</f>
        <v>0</v>
      </c>
      <c r="P23" s="71"/>
      <c r="Q23" s="35"/>
      <c r="R23" s="35"/>
      <c r="S23" s="35"/>
      <c r="T23" s="35"/>
      <c r="U23" s="35"/>
      <c r="V23" s="35"/>
      <c r="W23" s="35"/>
      <c r="X23" s="35"/>
      <c r="Y23" s="35"/>
    </row>
    <row r="24" ht="21" customHeight="1" spans="1:25">
      <c r="A24" s="42"/>
      <c r="B24" s="36"/>
      <c r="C24" s="36"/>
      <c r="D24" s="36"/>
      <c r="E24" s="52"/>
      <c r="F24" s="54"/>
      <c r="G24" s="72"/>
      <c r="H24" s="73"/>
      <c r="I24" s="74"/>
      <c r="J24" s="75"/>
      <c r="K24" s="74"/>
      <c r="L24" s="75"/>
      <c r="M24" s="74"/>
      <c r="N24" s="75"/>
      <c r="O24" s="76"/>
      <c r="P24" s="77"/>
      <c r="Q24" s="35"/>
      <c r="R24" s="35"/>
      <c r="S24" s="35"/>
      <c r="T24" s="35"/>
      <c r="U24" s="35"/>
      <c r="V24" s="35"/>
      <c r="W24" s="35"/>
      <c r="X24" s="35"/>
      <c r="Y24" s="35"/>
    </row>
    <row r="25" ht="21" customHeight="1" spans="1:25">
      <c r="A25" s="42"/>
      <c r="B25" s="36"/>
      <c r="C25" s="36"/>
      <c r="D25" s="36"/>
      <c r="E25" s="56"/>
      <c r="F25" s="58"/>
      <c r="G25" s="78"/>
      <c r="H25" s="79"/>
      <c r="I25" s="80"/>
      <c r="J25" s="81"/>
      <c r="K25" s="80"/>
      <c r="L25" s="81"/>
      <c r="M25" s="80"/>
      <c r="N25" s="81"/>
      <c r="O25" s="82"/>
      <c r="P25" s="83"/>
    </row>
    <row r="26" ht="18.75" customHeight="1" spans="1:25">
      <c r="A26" s="42"/>
      <c r="B26" s="36"/>
      <c r="C26" s="36"/>
      <c r="D26" s="36"/>
      <c r="E26" s="84" t="s">
        <v>79</v>
      </c>
      <c r="F26" s="84"/>
      <c r="G26" s="32"/>
      <c r="H26" s="32"/>
      <c r="I26" s="32"/>
      <c r="J26" s="32"/>
      <c r="K26" s="32"/>
      <c r="L26" s="32"/>
      <c r="M26" s="32"/>
      <c r="N26" s="32"/>
      <c r="O26" s="40">
        <f t="shared" ref="O26:O28" si="4">SUM(G26:N26)</f>
        <v>0</v>
      </c>
      <c r="P26" s="40"/>
    </row>
    <row r="27" ht="18.75" customHeight="1" spans="1:25">
      <c r="A27" s="42"/>
      <c r="B27" s="36"/>
      <c r="C27" s="36"/>
      <c r="D27" s="36"/>
      <c r="E27" s="85" t="s">
        <v>80</v>
      </c>
      <c r="F27" s="86" t="s">
        <v>11</v>
      </c>
      <c r="G27" s="32"/>
      <c r="H27" s="32"/>
      <c r="I27" s="32"/>
      <c r="J27" s="32"/>
      <c r="K27" s="32"/>
      <c r="L27" s="32"/>
      <c r="M27" s="32"/>
      <c r="N27" s="32"/>
      <c r="O27" s="40">
        <f t="shared" si="4"/>
        <v>0</v>
      </c>
      <c r="P27" s="40"/>
    </row>
    <row r="28" ht="18.75" spans="1:25">
      <c r="A28" s="42"/>
      <c r="B28" s="36"/>
      <c r="C28" s="36"/>
      <c r="D28" s="36"/>
      <c r="E28" s="87"/>
      <c r="F28" s="86" t="s">
        <v>13</v>
      </c>
      <c r="G28" s="32"/>
      <c r="H28" s="32"/>
      <c r="I28" s="32"/>
      <c r="J28" s="32"/>
      <c r="K28" s="32"/>
      <c r="L28" s="32"/>
      <c r="M28" s="32"/>
      <c r="N28" s="32"/>
      <c r="O28" s="40">
        <f t="shared" si="4"/>
        <v>0</v>
      </c>
      <c r="P28" s="40"/>
    </row>
    <row r="29" ht="17.45" customHeight="1" spans="1:25">
      <c r="A29" s="42"/>
      <c r="B29" s="36" t="s">
        <v>81</v>
      </c>
      <c r="C29" s="36"/>
      <c r="D29" s="36"/>
      <c r="E29" s="88" t="s">
        <v>82</v>
      </c>
      <c r="F29" s="89"/>
      <c r="G29" s="32"/>
      <c r="H29" s="32"/>
      <c r="I29" s="32"/>
      <c r="J29" s="32"/>
      <c r="K29" s="32"/>
      <c r="L29" s="32"/>
      <c r="M29" s="32"/>
      <c r="N29" s="32"/>
      <c r="O29" s="40">
        <f>SUM(G29:N30)</f>
        <v>0</v>
      </c>
      <c r="P29" s="40"/>
    </row>
    <row r="30" ht="17.45" customHeight="1" spans="1:25">
      <c r="A30" s="42"/>
      <c r="B30" s="36"/>
      <c r="C30" s="36"/>
      <c r="D30" s="36"/>
      <c r="E30" s="89"/>
      <c r="F30" s="89"/>
      <c r="G30" s="32"/>
      <c r="H30" s="32"/>
      <c r="I30" s="32"/>
      <c r="J30" s="32"/>
      <c r="K30" s="32"/>
      <c r="L30" s="32"/>
      <c r="M30" s="32"/>
      <c r="N30" s="32"/>
      <c r="O30" s="40"/>
      <c r="P30" s="40"/>
    </row>
    <row r="31" ht="17.45" customHeight="1" spans="1:25">
      <c r="A31" s="42"/>
      <c r="B31" s="89" t="s">
        <v>83</v>
      </c>
      <c r="C31" s="89"/>
      <c r="D31" s="89"/>
      <c r="E31" s="89" t="s">
        <v>84</v>
      </c>
      <c r="F31" s="36"/>
      <c r="G31" s="32"/>
      <c r="H31" s="32"/>
      <c r="I31" s="32"/>
      <c r="J31" s="32"/>
      <c r="K31" s="32"/>
      <c r="L31" s="32"/>
      <c r="M31" s="32"/>
      <c r="N31" s="32"/>
      <c r="O31" s="40">
        <f>SUM(G31:N32)</f>
        <v>0</v>
      </c>
      <c r="P31" s="40"/>
    </row>
    <row r="32" ht="17.45" customHeight="1" spans="1:25">
      <c r="A32" s="42"/>
      <c r="B32" s="89"/>
      <c r="C32" s="89"/>
      <c r="D32" s="89"/>
      <c r="E32" s="36"/>
      <c r="F32" s="36"/>
      <c r="G32" s="32"/>
      <c r="H32" s="32"/>
      <c r="I32" s="32"/>
      <c r="J32" s="32"/>
      <c r="K32" s="32"/>
      <c r="L32" s="32"/>
      <c r="M32" s="32"/>
      <c r="N32" s="32"/>
      <c r="O32" s="40"/>
      <c r="P32" s="40"/>
    </row>
    <row r="33" ht="18.75" spans="1:16">
      <c r="A33" s="42"/>
      <c r="B33" s="90" t="s">
        <v>85</v>
      </c>
      <c r="C33" s="90"/>
      <c r="D33" s="90"/>
      <c r="E33" s="90" t="s">
        <v>86</v>
      </c>
      <c r="F33" s="90"/>
      <c r="G33" s="32"/>
      <c r="H33" s="32"/>
      <c r="I33" s="32"/>
      <c r="J33" s="32"/>
      <c r="K33" s="32"/>
      <c r="L33" s="32"/>
      <c r="M33" s="32"/>
      <c r="N33" s="32"/>
      <c r="O33" s="40">
        <f t="shared" ref="O33:O40" si="5">SUM(G33:N33)</f>
        <v>0</v>
      </c>
      <c r="P33" s="40"/>
    </row>
    <row r="34" ht="18.75" spans="1:16">
      <c r="A34" s="42"/>
      <c r="B34" s="90" t="s">
        <v>87</v>
      </c>
      <c r="C34" s="90"/>
      <c r="D34" s="90"/>
      <c r="E34" s="91" t="s">
        <v>88</v>
      </c>
      <c r="F34" s="90"/>
      <c r="G34" s="32"/>
      <c r="H34" s="32"/>
      <c r="I34" s="32"/>
      <c r="J34" s="32"/>
      <c r="K34" s="32"/>
      <c r="L34" s="32"/>
      <c r="M34" s="32"/>
      <c r="N34" s="32"/>
      <c r="O34" s="40">
        <f t="shared" si="5"/>
        <v>0</v>
      </c>
      <c r="P34" s="40"/>
    </row>
    <row r="35" ht="18.75" spans="1:16">
      <c r="A35" s="42"/>
      <c r="B35" s="90" t="s">
        <v>89</v>
      </c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</row>
    <row r="36" ht="17.45" customHeight="1" spans="1:16">
      <c r="A36" s="42"/>
      <c r="B36" s="92" t="s">
        <v>90</v>
      </c>
      <c r="C36" s="93"/>
      <c r="D36" s="93"/>
      <c r="E36" s="89" t="s">
        <v>91</v>
      </c>
      <c r="F36" s="89"/>
      <c r="G36" s="32"/>
      <c r="H36" s="32"/>
      <c r="I36" s="32"/>
      <c r="J36" s="32"/>
      <c r="K36" s="32"/>
      <c r="L36" s="32"/>
      <c r="M36" s="32"/>
      <c r="N36" s="32"/>
      <c r="O36" s="40">
        <f>SUM(G36:N37)</f>
        <v>0</v>
      </c>
      <c r="P36" s="40"/>
    </row>
    <row r="37" ht="17.45" customHeight="1" spans="1:16">
      <c r="A37" s="42"/>
      <c r="B37" s="93"/>
      <c r="C37" s="93"/>
      <c r="D37" s="93"/>
      <c r="E37" s="89"/>
      <c r="F37" s="89"/>
      <c r="G37" s="32"/>
      <c r="H37" s="32"/>
      <c r="I37" s="32"/>
      <c r="J37" s="32"/>
      <c r="K37" s="32"/>
      <c r="L37" s="32"/>
      <c r="M37" s="32"/>
      <c r="N37" s="32"/>
      <c r="O37" s="40"/>
      <c r="P37" s="40"/>
    </row>
    <row r="38" ht="18.75" customHeight="1" spans="1:16">
      <c r="A38" s="42"/>
      <c r="B38" s="36" t="s">
        <v>92</v>
      </c>
      <c r="C38" s="90"/>
      <c r="D38" s="90"/>
      <c r="E38" s="94" t="s">
        <v>93</v>
      </c>
      <c r="F38" s="95"/>
      <c r="G38" s="96"/>
      <c r="H38" s="97"/>
      <c r="I38" s="96"/>
      <c r="J38" s="97"/>
      <c r="K38" s="96"/>
      <c r="L38" s="97"/>
      <c r="M38" s="96"/>
      <c r="N38" s="97"/>
      <c r="O38" s="40">
        <f t="shared" si="5"/>
        <v>0</v>
      </c>
      <c r="P38" s="40"/>
    </row>
    <row r="39" ht="18.75" customHeight="1" spans="1:16">
      <c r="A39" s="42"/>
      <c r="B39" s="90"/>
      <c r="C39" s="90"/>
      <c r="D39" s="90"/>
      <c r="E39" s="94" t="s">
        <v>94</v>
      </c>
      <c r="F39" s="95"/>
      <c r="G39" s="96"/>
      <c r="H39" s="97"/>
      <c r="I39" s="96"/>
      <c r="J39" s="97"/>
      <c r="K39" s="96"/>
      <c r="L39" s="97"/>
      <c r="M39" s="96"/>
      <c r="N39" s="97"/>
      <c r="O39" s="40">
        <f t="shared" si="5"/>
        <v>0</v>
      </c>
      <c r="P39" s="40"/>
    </row>
    <row r="40" ht="18.75" spans="1:16">
      <c r="A40" s="45"/>
      <c r="B40" s="93" t="s">
        <v>95</v>
      </c>
      <c r="C40" s="93"/>
      <c r="D40" s="93"/>
      <c r="E40" s="98" t="s">
        <v>96</v>
      </c>
      <c r="F40" s="98"/>
      <c r="G40" s="32"/>
      <c r="H40" s="32"/>
      <c r="I40" s="32"/>
      <c r="J40" s="32"/>
      <c r="K40" s="32"/>
      <c r="L40" s="32"/>
      <c r="M40" s="32"/>
      <c r="N40" s="32"/>
      <c r="O40" s="40">
        <f t="shared" si="5"/>
        <v>0</v>
      </c>
      <c r="P40" s="40"/>
    </row>
    <row r="41" ht="18" customHeight="1" spans="1:16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65" t="s">
        <v>66</v>
      </c>
      <c r="P41" s="65" t="s">
        <v>67</v>
      </c>
    </row>
    <row r="42" ht="18.75" customHeight="1" spans="1:16">
      <c r="A42" s="100" t="s">
        <v>97</v>
      </c>
      <c r="B42" s="36" t="s">
        <v>98</v>
      </c>
      <c r="C42" s="36"/>
      <c r="D42" s="36"/>
      <c r="E42" s="101" t="s">
        <v>69</v>
      </c>
      <c r="F42" s="90"/>
      <c r="G42" s="102" t="s">
        <v>99</v>
      </c>
      <c r="H42" s="102"/>
      <c r="I42" s="102"/>
      <c r="J42" s="102"/>
      <c r="K42" s="102"/>
      <c r="L42" s="102"/>
      <c r="M42" s="102"/>
      <c r="N42" s="102"/>
      <c r="O42" s="103"/>
      <c r="P42" s="43">
        <f>'3年财报'!K8+O44-O43</f>
        <v>0</v>
      </c>
    </row>
    <row r="43" ht="18.75" customHeight="1" spans="1:16">
      <c r="A43" s="104"/>
      <c r="B43" s="36"/>
      <c r="C43" s="36"/>
      <c r="D43" s="36"/>
      <c r="E43" s="101" t="s">
        <v>100</v>
      </c>
      <c r="F43" s="90"/>
      <c r="G43" s="102" t="s">
        <v>101</v>
      </c>
      <c r="H43" s="102"/>
      <c r="I43" s="102"/>
      <c r="J43" s="102"/>
      <c r="K43" s="102"/>
      <c r="L43" s="102"/>
      <c r="M43" s="102"/>
      <c r="N43" s="102"/>
      <c r="O43" s="103"/>
      <c r="P43" s="44"/>
    </row>
    <row r="44" ht="18.75" customHeight="1" spans="1:16">
      <c r="A44" s="104"/>
      <c r="B44" s="36"/>
      <c r="C44" s="36"/>
      <c r="D44" s="36"/>
      <c r="E44" s="101" t="s">
        <v>102</v>
      </c>
      <c r="F44" s="90"/>
      <c r="G44" s="102" t="s">
        <v>101</v>
      </c>
      <c r="H44" s="102"/>
      <c r="I44" s="102"/>
      <c r="J44" s="102"/>
      <c r="K44" s="102"/>
      <c r="L44" s="102"/>
      <c r="M44" s="102"/>
      <c r="N44" s="102"/>
      <c r="O44" s="103"/>
      <c r="P44" s="46"/>
    </row>
    <row r="45" ht="18.75" customHeight="1" spans="1:16">
      <c r="A45" s="104"/>
      <c r="B45" s="105" t="s">
        <v>141</v>
      </c>
      <c r="C45" s="105"/>
      <c r="D45" s="105"/>
      <c r="E45" s="105"/>
      <c r="F45" s="106"/>
      <c r="G45" s="102" t="s">
        <v>101</v>
      </c>
      <c r="H45" s="102"/>
      <c r="I45" s="102"/>
      <c r="J45" s="102"/>
      <c r="K45" s="102"/>
      <c r="L45" s="102"/>
      <c r="M45" s="102"/>
      <c r="N45" s="102"/>
      <c r="O45" s="32"/>
      <c r="P45" s="32"/>
    </row>
    <row r="46" ht="18.75" customHeight="1" spans="1:16">
      <c r="A46" s="104"/>
      <c r="B46" s="107" t="s">
        <v>142</v>
      </c>
      <c r="C46" s="108"/>
      <c r="D46" s="109"/>
      <c r="E46" s="110" t="s">
        <v>105</v>
      </c>
      <c r="F46" s="111"/>
      <c r="G46" s="112" t="s">
        <v>143</v>
      </c>
      <c r="H46" s="113"/>
      <c r="I46" s="113"/>
      <c r="J46" s="113"/>
      <c r="K46" s="113"/>
      <c r="L46" s="113"/>
      <c r="M46" s="113"/>
      <c r="N46" s="114"/>
      <c r="O46" s="32"/>
      <c r="P46" s="32"/>
    </row>
    <row r="47" ht="18.75" spans="1:16">
      <c r="A47" s="104"/>
      <c r="B47" s="106"/>
      <c r="C47" s="115"/>
      <c r="D47" s="116"/>
      <c r="E47" s="110" t="s">
        <v>107</v>
      </c>
      <c r="F47" s="111"/>
      <c r="G47" s="117"/>
      <c r="H47" s="118"/>
      <c r="I47" s="118"/>
      <c r="J47" s="118"/>
      <c r="K47" s="118"/>
      <c r="L47" s="118"/>
      <c r="M47" s="118"/>
      <c r="N47" s="119"/>
      <c r="O47" s="120"/>
      <c r="P47" s="121"/>
    </row>
    <row r="48" ht="18.75" customHeight="1" spans="1:16">
      <c r="A48" s="104"/>
      <c r="B48" s="90" t="s">
        <v>144</v>
      </c>
      <c r="C48" s="90"/>
      <c r="D48" s="90"/>
      <c r="E48" s="90"/>
      <c r="F48" s="122"/>
      <c r="G48" s="123" t="s">
        <v>145</v>
      </c>
      <c r="H48" s="123"/>
      <c r="I48" s="123"/>
      <c r="J48" s="123"/>
      <c r="K48" s="123"/>
      <c r="L48" s="123"/>
      <c r="M48" s="123"/>
      <c r="N48" s="123"/>
      <c r="O48" s="32"/>
      <c r="P48" s="32"/>
    </row>
    <row r="49" ht="18.75" spans="1:16">
      <c r="A49" s="104"/>
      <c r="B49" s="107" t="s">
        <v>110</v>
      </c>
      <c r="C49" s="108"/>
      <c r="D49" s="108"/>
      <c r="E49" s="108"/>
      <c r="F49" s="108"/>
      <c r="G49" s="124"/>
      <c r="H49" s="102"/>
      <c r="I49" s="102"/>
      <c r="J49" s="102"/>
      <c r="K49" s="102"/>
      <c r="L49" s="102"/>
      <c r="M49" s="102"/>
      <c r="N49" s="102"/>
      <c r="O49" s="29">
        <f>'3年财报'!G7+O27-O23</f>
        <v>3</v>
      </c>
      <c r="P49" s="29"/>
    </row>
    <row r="50" ht="18.75" customHeight="1" spans="1:16">
      <c r="A50" s="104"/>
      <c r="B50" s="36" t="s">
        <v>111</v>
      </c>
      <c r="C50" s="36"/>
      <c r="D50" s="36"/>
      <c r="E50" s="36" t="s">
        <v>112</v>
      </c>
      <c r="F50" s="36"/>
      <c r="G50" s="36"/>
      <c r="H50" s="36"/>
      <c r="I50" s="36"/>
      <c r="J50" s="36"/>
      <c r="K50" s="36"/>
      <c r="L50" s="36"/>
      <c r="M50" s="36"/>
      <c r="N50" s="36"/>
      <c r="O50" s="29">
        <f>'3年财报'!G8+O28</f>
        <v>0</v>
      </c>
      <c r="P50" s="29"/>
    </row>
    <row r="51" ht="18.75" customHeight="1" spans="1:16">
      <c r="A51" s="104"/>
      <c r="B51" s="36"/>
      <c r="C51" s="36"/>
      <c r="D51" s="36"/>
      <c r="E51" s="36" t="s">
        <v>113</v>
      </c>
      <c r="F51" s="36"/>
      <c r="G51" s="36"/>
      <c r="H51" s="36"/>
      <c r="I51" s="36"/>
      <c r="J51" s="36"/>
      <c r="K51" s="36"/>
      <c r="L51" s="36"/>
      <c r="M51" s="36"/>
      <c r="N51" s="36"/>
      <c r="O51" s="40" t="str">
        <f>FIXED(O50/3,0,TRUE)</f>
        <v>0</v>
      </c>
      <c r="P51" s="40"/>
    </row>
    <row r="52" ht="18.75" customHeight="1" spans="1:16">
      <c r="A52" s="104"/>
      <c r="B52" s="36"/>
      <c r="C52" s="36"/>
      <c r="D52" s="36"/>
      <c r="E52" s="36" t="s">
        <v>114</v>
      </c>
      <c r="F52" s="36"/>
      <c r="G52" s="36"/>
      <c r="H52" s="36"/>
      <c r="I52" s="36"/>
      <c r="J52" s="36"/>
      <c r="K52" s="36"/>
      <c r="L52" s="36"/>
      <c r="M52" s="36"/>
      <c r="N52" s="36"/>
      <c r="O52" s="32"/>
      <c r="P52" s="32"/>
    </row>
    <row r="53" ht="18.75" customHeight="1" spans="1:16">
      <c r="A53" s="104"/>
      <c r="B53" s="59" t="s">
        <v>115</v>
      </c>
      <c r="C53" s="60"/>
      <c r="D53" s="61"/>
      <c r="E53" s="59" t="s">
        <v>116</v>
      </c>
      <c r="F53" s="60"/>
      <c r="G53" s="60"/>
      <c r="H53" s="60"/>
      <c r="I53" s="60"/>
      <c r="J53" s="60"/>
      <c r="K53" s="60"/>
      <c r="L53" s="60"/>
      <c r="M53" s="60"/>
      <c r="N53" s="61"/>
      <c r="O53" s="125"/>
      <c r="P53" s="126"/>
    </row>
    <row r="54" ht="18" customHeight="1" spans="1:16">
      <c r="A54" s="127" t="s">
        <v>117</v>
      </c>
      <c r="B54" s="128"/>
      <c r="C54" s="128"/>
      <c r="D54" s="128"/>
      <c r="E54" s="128"/>
      <c r="F54" s="129"/>
      <c r="G54" s="65" t="s">
        <v>60</v>
      </c>
      <c r="H54" s="65" t="s">
        <v>61</v>
      </c>
      <c r="I54" s="65" t="s">
        <v>62</v>
      </c>
      <c r="J54" s="65" t="s">
        <v>63</v>
      </c>
      <c r="K54" s="65" t="s">
        <v>64</v>
      </c>
      <c r="L54" s="65"/>
      <c r="M54" s="65" t="s">
        <v>65</v>
      </c>
      <c r="N54" s="65"/>
      <c r="O54" s="65" t="s">
        <v>66</v>
      </c>
      <c r="P54" s="65"/>
    </row>
    <row r="55" ht="18" customHeight="1" spans="1:16">
      <c r="A55" s="127"/>
      <c r="B55" s="90" t="s">
        <v>118</v>
      </c>
      <c r="C55" s="90"/>
      <c r="D55" s="90"/>
      <c r="E55" s="130" t="s">
        <v>119</v>
      </c>
      <c r="F55" s="131"/>
      <c r="G55" s="103"/>
      <c r="H55" s="103"/>
      <c r="I55" s="103"/>
      <c r="J55" s="103"/>
      <c r="K55" s="103"/>
      <c r="L55" s="103"/>
      <c r="M55" s="103"/>
      <c r="N55" s="103"/>
      <c r="O55" s="132">
        <f>SUM((G55:N56))</f>
        <v>0</v>
      </c>
      <c r="P55" s="132"/>
    </row>
    <row r="56" ht="18" customHeight="1" spans="1:16">
      <c r="A56" s="127"/>
      <c r="B56" s="90"/>
      <c r="C56" s="90"/>
      <c r="D56" s="90"/>
      <c r="E56" s="130"/>
      <c r="F56" s="131"/>
      <c r="G56" s="103"/>
      <c r="H56" s="103"/>
      <c r="I56" s="103"/>
      <c r="J56" s="103"/>
      <c r="K56" s="103"/>
      <c r="L56" s="103"/>
      <c r="M56" s="103"/>
      <c r="N56" s="103"/>
      <c r="O56" s="132"/>
      <c r="P56" s="132"/>
    </row>
    <row r="57" ht="18" customHeight="1" spans="1:16">
      <c r="A57" s="127"/>
      <c r="B57" s="90" t="s">
        <v>120</v>
      </c>
      <c r="C57" s="90"/>
      <c r="D57" s="90"/>
      <c r="E57" s="90"/>
      <c r="F57" s="122"/>
      <c r="G57" s="102" t="s">
        <v>101</v>
      </c>
      <c r="H57" s="102"/>
      <c r="I57" s="102"/>
      <c r="J57" s="102"/>
      <c r="K57" s="102"/>
      <c r="L57" s="102"/>
      <c r="M57" s="102"/>
      <c r="N57" s="102"/>
      <c r="O57" s="133"/>
      <c r="P57" s="134"/>
    </row>
    <row r="58" ht="18" customHeight="1" spans="1:16">
      <c r="A58" s="127"/>
      <c r="B58" s="90" t="s">
        <v>121</v>
      </c>
      <c r="C58" s="90"/>
      <c r="D58" s="90"/>
      <c r="E58" s="90"/>
      <c r="F58" s="122"/>
      <c r="G58" s="102" t="s">
        <v>101</v>
      </c>
      <c r="H58" s="102"/>
      <c r="I58" s="102"/>
      <c r="J58" s="102"/>
      <c r="K58" s="102"/>
      <c r="L58" s="102"/>
      <c r="M58" s="102"/>
      <c r="N58" s="102"/>
      <c r="O58" s="103"/>
      <c r="P58" s="103"/>
    </row>
    <row r="59" ht="18.75" customHeight="1" spans="1:16">
      <c r="B59" s="30" t="s">
        <v>21</v>
      </c>
      <c r="C59" s="135">
        <f>'3年财报'!$G$13+$F$59-$I$59</f>
        <v>35</v>
      </c>
      <c r="D59" s="84" t="s">
        <v>122</v>
      </c>
      <c r="E59" s="84"/>
      <c r="F59" s="33">
        <f>$O$12+$O$23+$O$36+$O$44+$O$47+$O$58</f>
        <v>0</v>
      </c>
      <c r="G59" s="84" t="s">
        <v>123</v>
      </c>
      <c r="H59" s="136"/>
      <c r="I59" s="137">
        <f>$M$1+$P$5+$O$10+$O$11+$O$18+$O$21+$O$22+$O$26+$O$29+$O$31+$O$33+$O$34+$O$40+$O$45+$O$46+$O$42+$O$43+$O$48+$O$53+$O$55+$O$57</f>
        <v>0</v>
      </c>
      <c r="J59" s="138" t="s">
        <v>124</v>
      </c>
      <c r="K59" s="139" t="e">
        <f>$O$5/$P$5</f>
        <v>#DIV/0!</v>
      </c>
      <c r="L59" s="140" t="s">
        <v>125</v>
      </c>
      <c r="M59" s="141" t="e">
        <f>$O$33/($O$38+$O$58)</f>
        <v>#DIV/0!</v>
      </c>
      <c r="N59" s="142" t="s">
        <v>126</v>
      </c>
      <c r="O59" s="143">
        <f>($O$38-$O$39--$O$11-$P$5-$M$1-$O$21-$O$22--$O$29-$O$33-$O$34-$O$42-$O$45-$O$48-$O$53-$O$57+$O$58)/($O$31*7+5)*100</f>
        <v>0</v>
      </c>
    </row>
    <row r="60" ht="18.75" spans="1:16">
      <c r="A60" s="144" t="s">
        <v>27</v>
      </c>
      <c r="B60" s="145"/>
      <c r="C60" s="33">
        <f>$O$11+$O$42+$O$55</f>
        <v>0</v>
      </c>
      <c r="D60" s="138" t="s">
        <v>127</v>
      </c>
      <c r="E60" s="33">
        <f>$O$46-$O$47</f>
        <v>0</v>
      </c>
      <c r="F60" s="146" t="s">
        <v>128</v>
      </c>
      <c r="G60" s="40">
        <f>$O$38-$O$36</f>
        <v>0</v>
      </c>
      <c r="H60" s="147" t="s">
        <v>146</v>
      </c>
      <c r="I60" s="148">
        <f>'4年财报'!$C$22/'4年财报'!$K$19</f>
        <v>0</v>
      </c>
      <c r="J60" s="149" t="s">
        <v>130</v>
      </c>
      <c r="K60" s="148">
        <f>'4年财报'!$C$22/'4年财报'!$G$22</f>
        <v>0</v>
      </c>
      <c r="L60" s="150"/>
      <c r="M60" s="151"/>
      <c r="N60" s="150"/>
      <c r="O60" s="152"/>
      <c r="P60" s="153"/>
    </row>
    <row r="61" ht="18.75" spans="1:16">
      <c r="A61" s="144" t="s">
        <v>30</v>
      </c>
      <c r="B61" s="145"/>
      <c r="C61" s="33">
        <f>$O$58-$O$57</f>
        <v>0</v>
      </c>
      <c r="D61" s="154" t="s">
        <v>131</v>
      </c>
      <c r="E61" s="33">
        <f>$O$27-$O$23</f>
        <v>0</v>
      </c>
      <c r="F61" s="154" t="s">
        <v>132</v>
      </c>
      <c r="G61" s="40">
        <f>$O$28-$O$51</f>
        <v>0</v>
      </c>
      <c r="H61" s="155" t="s">
        <v>133</v>
      </c>
      <c r="I61" s="148" t="e">
        <f>'4年财报'!$C$22/'4年财报'!$C$4</f>
        <v>#DIV/0!</v>
      </c>
      <c r="J61" s="147" t="s">
        <v>134</v>
      </c>
      <c r="K61" s="148" t="e">
        <f>1-'4年财报'!$C$5/'4年财报'!$C$4</f>
        <v>#DIV/0!</v>
      </c>
      <c r="L61" s="151"/>
      <c r="M61" s="151"/>
      <c r="N61" s="151"/>
      <c r="O61" s="151"/>
      <c r="P61" s="153"/>
    </row>
    <row r="62" ht="14.25" spans="1:16">
      <c r="A62" s="153"/>
      <c r="B62" s="153"/>
      <c r="C62" s="153"/>
      <c r="D62" s="156"/>
      <c r="E62" s="153"/>
      <c r="F62" s="153"/>
      <c r="G62" s="153"/>
      <c r="H62" s="157"/>
      <c r="I62" s="158"/>
      <c r="J62" s="150"/>
      <c r="K62" s="158"/>
      <c r="L62" s="153"/>
      <c r="M62" s="153"/>
      <c r="N62" s="153"/>
      <c r="O62" s="153"/>
      <c r="P62" s="153"/>
    </row>
    <row r="63" ht="14.25" spans="1:16">
      <c r="A63" s="153"/>
      <c r="B63" s="153"/>
      <c r="C63" s="153"/>
      <c r="D63" s="156"/>
      <c r="E63" s="153"/>
      <c r="F63" s="153"/>
      <c r="G63" s="153"/>
      <c r="H63" s="157"/>
      <c r="I63" s="158"/>
      <c r="J63" s="150"/>
      <c r="K63" s="158"/>
      <c r="L63" s="153"/>
      <c r="M63" s="153"/>
      <c r="N63" s="153"/>
      <c r="O63" s="153"/>
      <c r="P63" s="153"/>
    </row>
    <row r="64" ht="14.25" spans="1:16">
      <c r="A64" s="153"/>
      <c r="B64" s="153"/>
      <c r="C64" s="153"/>
      <c r="D64" s="156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</row>
    <row r="65" ht="14.25" spans="1:16">
      <c r="A65" s="153"/>
      <c r="B65" s="153"/>
      <c r="C65" s="153"/>
      <c r="D65" s="156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</row>
    <row r="66" ht="14.25" spans="1:16">
      <c r="A66" s="153"/>
      <c r="B66" s="153"/>
      <c r="C66" s="153"/>
      <c r="D66" s="156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</row>
    <row r="67" ht="14.25" spans="1:16">
      <c r="A67" s="153"/>
      <c r="B67" s="153"/>
      <c r="C67" s="153"/>
      <c r="D67" s="156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</row>
    <row r="68" ht="14.25" spans="1:16">
      <c r="A68" s="153"/>
      <c r="B68" s="153"/>
      <c r="C68" s="153"/>
      <c r="D68" s="156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</row>
    <row r="69" ht="14.25" spans="1:16">
      <c r="A69" s="153"/>
      <c r="B69" s="153"/>
      <c r="C69" s="153"/>
      <c r="D69" s="156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</row>
  </sheetData>
  <mergeCells count="265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D59:E59"/>
    <mergeCell ref="G59:H59"/>
    <mergeCell ref="A60:B60"/>
    <mergeCell ref="A61:B61"/>
    <mergeCell ref="A1:A8"/>
    <mergeCell ref="A9:A12"/>
    <mergeCell ref="A13:A18"/>
    <mergeCell ref="A19:A40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"/>
  <sheetViews>
    <sheetView zoomScale="130" zoomScaleNormal="130" topLeftCell="A9" workbookViewId="0">
      <selection activeCell="H25" sqref="H25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'4年经营'!O38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'4年经营'!O39</f>
        <v>0</v>
      </c>
      <c r="D5" s="5"/>
      <c r="E5" s="5"/>
      <c r="F5" s="9" t="s">
        <v>8</v>
      </c>
      <c r="G5" s="10">
        <f>'4年经营'!O52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'3年财报'!G6+'4年经营'!E60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'3年财报'!G7+'4年经营'!E61</f>
        <v>3</v>
      </c>
      <c r="H7" s="5"/>
      <c r="I7" s="5"/>
      <c r="J7" s="9" t="s">
        <v>12</v>
      </c>
      <c r="K7" s="10">
        <f>'4年经营'!P10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'3年财报'!G8+'4年经营'!G61</f>
        <v>0</v>
      </c>
      <c r="H8" s="5"/>
      <c r="I8" s="5"/>
      <c r="J8" s="9" t="s">
        <v>14</v>
      </c>
      <c r="K8" s="10">
        <f>'4年经营'!P42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135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'4年经营'!O2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'4年经营'!O51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'4年经营'!C59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'3年财报'!G14+'4年经营'!O38-'4年经营'!O36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'3年财报'!K15</f>
        <v>50</v>
      </c>
      <c r="L15" s="5"/>
    </row>
    <row r="16" s="1" customFormat="1" ht="20.1" customHeight="1" spans="2:12">
      <c r="B16" s="9" t="s">
        <v>27</v>
      </c>
      <c r="C16" s="10">
        <f>'4年经营'!C60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'3年财报'!K16+'3年财报'!K17</f>
        <v>19</v>
      </c>
    </row>
    <row r="17" s="1" customFormat="1" ht="20.1" customHeight="1" spans="2:11">
      <c r="B17" s="9" t="s">
        <v>30</v>
      </c>
      <c r="C17" s="10">
        <f>'4年经营'!C61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4" ht="21.95" customHeight="1" spans="2:11">
      <c r="B24" s="19" t="s">
        <v>136</v>
      </c>
      <c r="C24" s="20"/>
      <c r="D24" s="21" t="s">
        <v>137</v>
      </c>
    </row>
    <row r="25" ht="21.95" customHeight="1" spans="2:11">
      <c r="B25" s="19" t="s">
        <v>138</v>
      </c>
      <c r="C25" s="22"/>
      <c r="D25" s="21"/>
    </row>
    <row r="26" ht="20.1" customHeight="1" spans="2:11">
      <c r="B26" s="19" t="s">
        <v>139</v>
      </c>
      <c r="C26" s="23"/>
      <c r="D26" s="21"/>
    </row>
  </sheetData>
  <mergeCells count="10">
    <mergeCell ref="B2:C2"/>
    <mergeCell ref="F2:K2"/>
    <mergeCell ref="F3:G3"/>
    <mergeCell ref="J3:K3"/>
    <mergeCell ref="F4:G4"/>
    <mergeCell ref="J4:K4"/>
    <mergeCell ref="F11:G11"/>
    <mergeCell ref="J13:K13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39" workbookViewId="0">
      <selection activeCell="I61" sqref="I61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24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25" t="s">
        <v>40</v>
      </c>
      <c r="B1" s="26" t="s">
        <v>41</v>
      </c>
      <c r="C1" s="27"/>
      <c r="D1" s="28"/>
      <c r="E1" s="26" t="s">
        <v>42</v>
      </c>
      <c r="F1" s="27"/>
      <c r="G1" s="27"/>
      <c r="H1" s="27"/>
      <c r="I1" s="27"/>
      <c r="J1" s="27"/>
      <c r="K1" s="27"/>
      <c r="L1" s="28"/>
      <c r="M1" s="29" t="str">
        <f>'4年财报'!C21</f>
        <v>0</v>
      </c>
      <c r="N1" s="29"/>
      <c r="O1" s="30" t="s">
        <v>16</v>
      </c>
      <c r="P1" s="30"/>
    </row>
    <row r="2" ht="18" customHeight="1" spans="1:25">
      <c r="A2" s="25"/>
      <c r="B2" s="26" t="s">
        <v>43</v>
      </c>
      <c r="C2" s="27"/>
      <c r="D2" s="28"/>
      <c r="E2" s="26" t="s">
        <v>44</v>
      </c>
      <c r="F2" s="27"/>
      <c r="G2" s="27"/>
      <c r="H2" s="27"/>
      <c r="I2" s="27"/>
      <c r="J2" s="27"/>
      <c r="K2" s="31" t="s">
        <v>45</v>
      </c>
      <c r="L2" s="31"/>
      <c r="M2" s="32"/>
      <c r="N2" s="32"/>
      <c r="O2" s="33">
        <f>P5+O21+O22+O29+O33+O34+O40+O45+O48+O53</f>
        <v>0</v>
      </c>
      <c r="P2" s="34"/>
      <c r="Q2" s="35"/>
      <c r="R2" s="35"/>
      <c r="S2" s="35"/>
      <c r="T2" s="35"/>
      <c r="U2" s="35"/>
      <c r="V2" s="35"/>
      <c r="W2" s="35"/>
      <c r="X2" s="35"/>
      <c r="Y2" s="35"/>
    </row>
    <row r="3" ht="18" customHeight="1" spans="1:25">
      <c r="A3" s="25"/>
      <c r="B3" s="36" t="s">
        <v>46</v>
      </c>
      <c r="C3" s="36"/>
      <c r="D3" s="31" t="s">
        <v>47</v>
      </c>
      <c r="E3" s="31" t="s">
        <v>48</v>
      </c>
      <c r="F3" s="31"/>
      <c r="G3" s="31" t="s">
        <v>49</v>
      </c>
      <c r="H3" s="31"/>
      <c r="I3" s="37" t="s">
        <v>50</v>
      </c>
      <c r="J3" s="38"/>
      <c r="K3" s="31" t="s">
        <v>51</v>
      </c>
      <c r="L3" s="31"/>
      <c r="M3" s="31" t="s">
        <v>52</v>
      </c>
      <c r="N3" s="31"/>
      <c r="O3" s="39" t="s">
        <v>53</v>
      </c>
      <c r="P3" s="39" t="s">
        <v>54</v>
      </c>
      <c r="Q3" s="35"/>
      <c r="R3" s="35"/>
      <c r="S3" s="35"/>
      <c r="T3" s="35"/>
      <c r="U3" s="35"/>
      <c r="V3" s="35"/>
      <c r="W3" s="35"/>
      <c r="X3" s="35"/>
      <c r="Y3" s="35"/>
    </row>
    <row r="4" ht="18" customHeight="1" spans="1:25">
      <c r="A4" s="25"/>
      <c r="B4" s="36"/>
      <c r="C4" s="36"/>
      <c r="D4" s="31"/>
      <c r="E4" s="31" t="s">
        <v>55</v>
      </c>
      <c r="F4" s="31"/>
      <c r="G4" s="31" t="s">
        <v>55</v>
      </c>
      <c r="H4" s="31"/>
      <c r="I4" s="31" t="s">
        <v>55</v>
      </c>
      <c r="J4" s="31"/>
      <c r="K4" s="31" t="s">
        <v>55</v>
      </c>
      <c r="L4" s="31"/>
      <c r="M4" s="31"/>
      <c r="N4" s="31"/>
      <c r="O4" s="39"/>
      <c r="P4" s="39"/>
      <c r="Q4" s="35"/>
      <c r="R4" s="35"/>
      <c r="S4" s="35"/>
      <c r="T4" s="35"/>
      <c r="U4" s="35"/>
      <c r="V4" s="35"/>
      <c r="W4" s="35"/>
      <c r="X4" s="35"/>
      <c r="Y4" s="35"/>
    </row>
    <row r="5" ht="18" customHeight="1" spans="1:25">
      <c r="A5" s="25"/>
      <c r="B5" s="36"/>
      <c r="C5" s="36"/>
      <c r="D5" s="31" t="s">
        <v>56</v>
      </c>
      <c r="E5" s="32"/>
      <c r="F5" s="32"/>
      <c r="G5" s="32"/>
      <c r="H5" s="32"/>
      <c r="I5" s="32"/>
      <c r="J5" s="32"/>
      <c r="K5" s="32"/>
      <c r="L5" s="32"/>
      <c r="M5" s="40">
        <f t="shared" ref="M5:M8" si="0">SUM(E5:L5)</f>
        <v>0</v>
      </c>
      <c r="N5" s="40"/>
      <c r="O5" s="40">
        <f>SUM(M5:N8)</f>
        <v>0</v>
      </c>
      <c r="P5" s="32"/>
      <c r="Q5" s="35"/>
      <c r="R5" s="35"/>
      <c r="S5" s="35"/>
      <c r="T5" s="35"/>
      <c r="U5" s="35"/>
      <c r="V5" s="35"/>
      <c r="W5" s="35"/>
      <c r="X5" s="35"/>
      <c r="Y5" s="35"/>
    </row>
    <row r="6" ht="18" customHeight="1" spans="1:25">
      <c r="A6" s="25"/>
      <c r="B6" s="36"/>
      <c r="C6" s="36"/>
      <c r="D6" s="31" t="s">
        <v>47</v>
      </c>
      <c r="E6" s="32"/>
      <c r="F6" s="32"/>
      <c r="G6" s="32"/>
      <c r="H6" s="32"/>
      <c r="I6" s="32"/>
      <c r="J6" s="32"/>
      <c r="K6" s="32"/>
      <c r="L6" s="32"/>
      <c r="M6" s="40">
        <f t="shared" si="0"/>
        <v>0</v>
      </c>
      <c r="N6" s="40"/>
      <c r="O6" s="40"/>
      <c r="P6" s="32"/>
      <c r="Q6" s="35"/>
      <c r="R6" s="35"/>
      <c r="S6" s="35"/>
      <c r="T6" s="35"/>
      <c r="U6" s="35"/>
      <c r="V6" s="35"/>
      <c r="W6" s="35"/>
      <c r="X6" s="35"/>
      <c r="Y6" s="35"/>
    </row>
    <row r="7" ht="18" customHeight="1" spans="1:25">
      <c r="A7" s="25"/>
      <c r="B7" s="36"/>
      <c r="C7" s="36"/>
      <c r="D7" s="31" t="s">
        <v>57</v>
      </c>
      <c r="E7" s="32"/>
      <c r="F7" s="32"/>
      <c r="G7" s="32"/>
      <c r="H7" s="32"/>
      <c r="I7" s="32"/>
      <c r="J7" s="32"/>
      <c r="K7" s="32"/>
      <c r="L7" s="32"/>
      <c r="M7" s="40">
        <f t="shared" si="0"/>
        <v>0</v>
      </c>
      <c r="N7" s="40"/>
      <c r="O7" s="40"/>
      <c r="P7" s="32"/>
      <c r="Q7" s="24"/>
      <c r="R7" s="35"/>
      <c r="S7" s="35"/>
      <c r="T7" s="35"/>
      <c r="U7" s="35"/>
      <c r="V7" s="35"/>
      <c r="W7" s="35"/>
      <c r="X7" s="35"/>
      <c r="Y7" s="35"/>
    </row>
    <row r="8" ht="18" customHeight="1" spans="1:25">
      <c r="A8" s="25"/>
      <c r="B8" s="36"/>
      <c r="C8" s="36"/>
      <c r="D8" s="31" t="s">
        <v>58</v>
      </c>
      <c r="E8" s="32"/>
      <c r="F8" s="32"/>
      <c r="G8" s="32"/>
      <c r="H8" s="32"/>
      <c r="I8" s="32"/>
      <c r="J8" s="32"/>
      <c r="K8" s="32"/>
      <c r="L8" s="32"/>
      <c r="M8" s="40">
        <f t="shared" si="0"/>
        <v>0</v>
      </c>
      <c r="N8" s="40"/>
      <c r="O8" s="40"/>
      <c r="P8" s="32"/>
      <c r="Q8" s="24"/>
      <c r="R8" s="35"/>
      <c r="S8" s="35"/>
      <c r="T8" s="35"/>
      <c r="U8" s="35"/>
      <c r="V8" s="35"/>
      <c r="W8" s="35"/>
      <c r="X8" s="35"/>
      <c r="Y8" s="35"/>
    </row>
    <row r="9" ht="18" customHeight="1" spans="1:25">
      <c r="A9" s="41" t="s">
        <v>140</v>
      </c>
      <c r="B9" s="36" t="s">
        <v>59</v>
      </c>
      <c r="C9" s="36"/>
      <c r="D9" s="36"/>
      <c r="E9" s="31"/>
      <c r="F9" s="31"/>
      <c r="G9" s="31" t="s">
        <v>60</v>
      </c>
      <c r="H9" s="31" t="s">
        <v>61</v>
      </c>
      <c r="I9" s="31" t="s">
        <v>62</v>
      </c>
      <c r="J9" s="31" t="s">
        <v>63</v>
      </c>
      <c r="K9" s="31" t="s">
        <v>64</v>
      </c>
      <c r="L9" s="31"/>
      <c r="M9" s="31" t="s">
        <v>65</v>
      </c>
      <c r="N9" s="31"/>
      <c r="O9" s="31" t="s">
        <v>66</v>
      </c>
      <c r="P9" s="31" t="s">
        <v>67</v>
      </c>
      <c r="Q9" s="35"/>
      <c r="R9" s="35"/>
      <c r="S9" s="35"/>
      <c r="T9" s="35"/>
      <c r="U9" s="35"/>
      <c r="V9" s="35"/>
      <c r="W9" s="35"/>
      <c r="X9" s="35"/>
      <c r="Y9" s="35"/>
    </row>
    <row r="10" ht="18" customHeight="1" spans="1:25">
      <c r="A10" s="42"/>
      <c r="B10" s="36"/>
      <c r="C10" s="36"/>
      <c r="D10" s="36"/>
      <c r="E10" s="31" t="s">
        <v>68</v>
      </c>
      <c r="F10" s="31"/>
      <c r="G10" s="32"/>
      <c r="H10" s="32"/>
      <c r="I10" s="32"/>
      <c r="J10" s="32"/>
      <c r="K10" s="32"/>
      <c r="L10" s="32"/>
      <c r="M10" s="32"/>
      <c r="N10" s="32"/>
      <c r="O10" s="40">
        <f t="shared" ref="O10:O12" si="1">SUM(G10:N10)</f>
        <v>0</v>
      </c>
      <c r="P10" s="43">
        <f>'4年财报'!K7+O12-O10</f>
        <v>20</v>
      </c>
      <c r="Q10" s="35"/>
      <c r="R10" s="35"/>
      <c r="S10" s="35"/>
      <c r="T10" s="35"/>
      <c r="U10" s="35"/>
      <c r="V10" s="35"/>
      <c r="W10" s="35"/>
      <c r="X10" s="35"/>
      <c r="Y10" s="35"/>
    </row>
    <row r="11" ht="18" customHeight="1" spans="1:25">
      <c r="A11" s="42"/>
      <c r="B11" s="36"/>
      <c r="C11" s="36"/>
      <c r="D11" s="36"/>
      <c r="E11" s="31" t="s">
        <v>69</v>
      </c>
      <c r="F11" s="31"/>
      <c r="G11" s="32"/>
      <c r="H11" s="32"/>
      <c r="I11" s="32"/>
      <c r="J11" s="32"/>
      <c r="K11" s="32"/>
      <c r="L11" s="32"/>
      <c r="M11" s="32"/>
      <c r="N11" s="32"/>
      <c r="O11" s="40">
        <f t="shared" si="1"/>
        <v>0</v>
      </c>
      <c r="P11" s="44"/>
      <c r="Q11" s="35"/>
      <c r="R11" s="35"/>
      <c r="S11" s="35"/>
      <c r="T11" s="35"/>
      <c r="U11" s="35"/>
      <c r="V11" s="35"/>
      <c r="W11" s="35"/>
      <c r="X11" s="35"/>
      <c r="Y11" s="35"/>
    </row>
    <row r="12" ht="18" customHeight="1" spans="1:25">
      <c r="A12" s="45"/>
      <c r="B12" s="36"/>
      <c r="C12" s="36"/>
      <c r="D12" s="36"/>
      <c r="E12" s="31" t="s">
        <v>70</v>
      </c>
      <c r="F12" s="31"/>
      <c r="G12" s="32"/>
      <c r="H12" s="32"/>
      <c r="I12" s="32"/>
      <c r="J12" s="32"/>
      <c r="K12" s="32"/>
      <c r="L12" s="32"/>
      <c r="M12" s="32"/>
      <c r="N12" s="32"/>
      <c r="O12" s="40">
        <f t="shared" si="1"/>
        <v>0</v>
      </c>
      <c r="P12" s="46"/>
      <c r="Q12" s="35"/>
      <c r="R12" s="35"/>
      <c r="S12" s="35"/>
      <c r="T12" s="35"/>
      <c r="U12" s="35"/>
      <c r="V12" s="35"/>
      <c r="W12" s="35"/>
      <c r="X12" s="35"/>
      <c r="Y12" s="35"/>
    </row>
    <row r="13" ht="18" customHeight="1" spans="1:25">
      <c r="A13" s="47" t="s">
        <v>71</v>
      </c>
      <c r="B13" s="48" t="s">
        <v>72</v>
      </c>
      <c r="C13" s="49"/>
      <c r="D13" s="50"/>
      <c r="E13" s="37"/>
      <c r="F13" s="38"/>
      <c r="G13" s="31" t="s">
        <v>60</v>
      </c>
      <c r="H13" s="31" t="s">
        <v>61</v>
      </c>
      <c r="I13" s="31" t="s">
        <v>62</v>
      </c>
      <c r="J13" s="31" t="s">
        <v>63</v>
      </c>
      <c r="K13" s="31" t="s">
        <v>64</v>
      </c>
      <c r="L13" s="31"/>
      <c r="M13" s="31" t="s">
        <v>65</v>
      </c>
      <c r="N13" s="31"/>
      <c r="O13" s="31" t="s">
        <v>66</v>
      </c>
      <c r="P13" s="31"/>
      <c r="Q13" s="35"/>
      <c r="R13" s="35"/>
      <c r="S13" s="35"/>
      <c r="T13" s="35"/>
      <c r="U13" s="35"/>
      <c r="V13" s="35"/>
      <c r="W13" s="35"/>
      <c r="X13" s="35"/>
      <c r="Y13" s="35"/>
    </row>
    <row r="14" ht="18" customHeight="1" spans="1:25">
      <c r="A14" s="51"/>
      <c r="B14" s="52"/>
      <c r="C14" s="53"/>
      <c r="D14" s="54"/>
      <c r="E14" s="37" t="s">
        <v>48</v>
      </c>
      <c r="F14" s="38"/>
      <c r="G14" s="32"/>
      <c r="H14" s="32"/>
      <c r="I14" s="32"/>
      <c r="J14" s="32"/>
      <c r="K14" s="32"/>
      <c r="L14" s="32"/>
      <c r="M14" s="32"/>
      <c r="N14" s="32"/>
      <c r="O14" s="33">
        <f t="shared" ref="O14:O18" si="2">G14+I14+K14+M14</f>
        <v>0</v>
      </c>
      <c r="P14" s="34"/>
      <c r="Q14" s="35"/>
      <c r="R14" s="35"/>
      <c r="S14" s="35"/>
      <c r="T14" s="35"/>
      <c r="U14" s="35"/>
      <c r="V14" s="35"/>
      <c r="W14" s="35"/>
      <c r="X14" s="35"/>
      <c r="Y14" s="35"/>
    </row>
    <row r="15" ht="18" customHeight="1" spans="1:25">
      <c r="A15" s="51"/>
      <c r="B15" s="52"/>
      <c r="C15" s="53"/>
      <c r="D15" s="54"/>
      <c r="E15" s="37" t="s">
        <v>49</v>
      </c>
      <c r="F15" s="38"/>
      <c r="G15" s="32"/>
      <c r="H15" s="32"/>
      <c r="I15" s="32"/>
      <c r="J15" s="32"/>
      <c r="K15" s="32"/>
      <c r="L15" s="32"/>
      <c r="M15" s="32"/>
      <c r="N15" s="32"/>
      <c r="O15" s="33">
        <f t="shared" si="2"/>
        <v>0</v>
      </c>
      <c r="P15" s="34"/>
      <c r="Q15" s="35"/>
      <c r="R15" s="35"/>
      <c r="S15" s="35"/>
      <c r="T15" s="35"/>
      <c r="U15" s="35"/>
      <c r="V15" s="35"/>
      <c r="W15" s="35"/>
      <c r="X15" s="35"/>
      <c r="Y15" s="35"/>
    </row>
    <row r="16" ht="18" customHeight="1" spans="1:25">
      <c r="A16" s="51"/>
      <c r="B16" s="52"/>
      <c r="C16" s="53"/>
      <c r="D16" s="54"/>
      <c r="E16" s="37" t="s">
        <v>50</v>
      </c>
      <c r="F16" s="38"/>
      <c r="G16" s="32"/>
      <c r="H16" s="32"/>
      <c r="I16" s="32"/>
      <c r="J16" s="32"/>
      <c r="K16" s="32"/>
      <c r="L16" s="32"/>
      <c r="M16" s="32"/>
      <c r="N16" s="32"/>
      <c r="O16" s="33">
        <f t="shared" si="2"/>
        <v>0</v>
      </c>
      <c r="P16" s="34"/>
      <c r="Q16" s="35"/>
      <c r="R16" s="35"/>
      <c r="S16" s="35"/>
      <c r="T16" s="35"/>
      <c r="U16" s="35"/>
      <c r="V16" s="35"/>
      <c r="W16" s="35"/>
      <c r="X16" s="35"/>
      <c r="Y16" s="35"/>
    </row>
    <row r="17" ht="18" customHeight="1" spans="1:25">
      <c r="A17" s="51"/>
      <c r="B17" s="52"/>
      <c r="C17" s="53"/>
      <c r="D17" s="54"/>
      <c r="E17" s="37" t="s">
        <v>51</v>
      </c>
      <c r="F17" s="38"/>
      <c r="G17" s="32"/>
      <c r="H17" s="32"/>
      <c r="I17" s="32"/>
      <c r="J17" s="32"/>
      <c r="K17" s="32"/>
      <c r="L17" s="32"/>
      <c r="M17" s="32"/>
      <c r="N17" s="32"/>
      <c r="O17" s="33">
        <f t="shared" si="2"/>
        <v>0</v>
      </c>
      <c r="P17" s="34"/>
      <c r="Q17" s="35"/>
      <c r="R17" s="35"/>
      <c r="S17" s="35"/>
      <c r="T17" s="35"/>
      <c r="U17" s="35"/>
      <c r="V17" s="35"/>
      <c r="W17" s="35"/>
      <c r="X17" s="35"/>
      <c r="Y17" s="35"/>
    </row>
    <row r="18" ht="18" customHeight="1" spans="1:25">
      <c r="A18" s="55"/>
      <c r="B18" s="56"/>
      <c r="C18" s="57"/>
      <c r="D18" s="58"/>
      <c r="E18" s="37" t="s">
        <v>73</v>
      </c>
      <c r="F18" s="38"/>
      <c r="G18" s="33">
        <f t="shared" ref="G18:K18" si="3">G14+G15+G16+G17</f>
        <v>0</v>
      </c>
      <c r="H18" s="34">
        <f>SUM(H14:H17)</f>
        <v>0</v>
      </c>
      <c r="I18" s="33">
        <f t="shared" si="3"/>
        <v>0</v>
      </c>
      <c r="J18" s="34"/>
      <c r="K18" s="33">
        <f t="shared" si="3"/>
        <v>0</v>
      </c>
      <c r="L18" s="34"/>
      <c r="M18" s="33">
        <f>M14+M15+M16+M17</f>
        <v>0</v>
      </c>
      <c r="N18" s="34"/>
      <c r="O18" s="33">
        <f t="shared" si="2"/>
        <v>0</v>
      </c>
      <c r="P18" s="34"/>
      <c r="Q18" s="35"/>
      <c r="R18" s="35"/>
      <c r="S18" s="35"/>
      <c r="T18" s="35"/>
      <c r="U18" s="35"/>
      <c r="V18" s="35"/>
      <c r="W18" s="35"/>
      <c r="X18" s="35"/>
      <c r="Y18" s="35"/>
    </row>
    <row r="19" ht="21" customHeight="1" spans="1:25">
      <c r="A19" s="41" t="s">
        <v>71</v>
      </c>
      <c r="B19" s="59" t="s">
        <v>74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/>
      <c r="Q19" s="35"/>
      <c r="R19" s="35"/>
      <c r="S19" s="35"/>
      <c r="T19" s="35"/>
      <c r="U19" s="35"/>
      <c r="V19" s="35"/>
      <c r="W19" s="35"/>
      <c r="X19" s="35"/>
      <c r="Y19" s="35"/>
    </row>
    <row r="20" ht="21" customHeight="1" spans="1:25">
      <c r="A20" s="42"/>
      <c r="B20" s="62" t="s">
        <v>75</v>
      </c>
      <c r="C20" s="62"/>
      <c r="D20" s="62"/>
      <c r="E20" s="63"/>
      <c r="F20" s="64"/>
      <c r="G20" s="65" t="s">
        <v>60</v>
      </c>
      <c r="H20" s="65" t="s">
        <v>61</v>
      </c>
      <c r="I20" s="65" t="s">
        <v>62</v>
      </c>
      <c r="J20" s="65" t="s">
        <v>63</v>
      </c>
      <c r="K20" s="65" t="s">
        <v>64</v>
      </c>
      <c r="L20" s="65"/>
      <c r="M20" s="65" t="s">
        <v>65</v>
      </c>
      <c r="N20" s="65"/>
      <c r="O20" s="65" t="s">
        <v>66</v>
      </c>
      <c r="P20" s="65"/>
      <c r="Q20" s="35"/>
      <c r="R20" s="35"/>
      <c r="S20" s="35"/>
      <c r="T20" s="35"/>
      <c r="U20" s="35"/>
      <c r="V20" s="35"/>
      <c r="W20" s="35"/>
      <c r="X20" s="35"/>
      <c r="Y20" s="35"/>
    </row>
    <row r="21" ht="21" customHeight="1" spans="1:25">
      <c r="A21" s="42"/>
      <c r="B21" s="36"/>
      <c r="C21" s="36"/>
      <c r="D21" s="36"/>
      <c r="E21" s="36" t="s">
        <v>76</v>
      </c>
      <c r="F21" s="36"/>
      <c r="G21" s="32"/>
      <c r="H21" s="32"/>
      <c r="I21" s="32"/>
      <c r="J21" s="32"/>
      <c r="K21" s="32"/>
      <c r="L21" s="32"/>
      <c r="M21" s="32"/>
      <c r="N21" s="32"/>
      <c r="O21" s="40">
        <f>SUM(G21:N21)</f>
        <v>0</v>
      </c>
      <c r="P21" s="40"/>
      <c r="Q21" s="35"/>
      <c r="R21" s="35"/>
      <c r="S21" s="35"/>
      <c r="T21" s="35"/>
      <c r="U21" s="35"/>
      <c r="V21" s="35"/>
      <c r="W21" s="35"/>
      <c r="X21" s="35"/>
      <c r="Y21" s="35"/>
    </row>
    <row r="22" ht="21" customHeight="1" spans="1:25">
      <c r="A22" s="42"/>
      <c r="B22" s="36"/>
      <c r="C22" s="36"/>
      <c r="D22" s="36"/>
      <c r="E22" s="36" t="s">
        <v>77</v>
      </c>
      <c r="F22" s="36"/>
      <c r="G22" s="32"/>
      <c r="H22" s="32"/>
      <c r="I22" s="32"/>
      <c r="J22" s="32"/>
      <c r="K22" s="32"/>
      <c r="L22" s="32"/>
      <c r="M22" s="32"/>
      <c r="N22" s="32"/>
      <c r="O22" s="40">
        <f>G22+I22+K22+M22</f>
        <v>0</v>
      </c>
      <c r="P22" s="40"/>
      <c r="Q22" s="35"/>
      <c r="R22" s="35"/>
      <c r="S22" s="35"/>
      <c r="T22" s="35"/>
      <c r="U22" s="35"/>
      <c r="V22" s="35"/>
      <c r="W22" s="35"/>
      <c r="X22" s="35"/>
      <c r="Y22" s="35"/>
    </row>
    <row r="23" ht="21" customHeight="1" spans="1:25">
      <c r="A23" s="42"/>
      <c r="B23" s="36"/>
      <c r="C23" s="36"/>
      <c r="D23" s="36"/>
      <c r="E23" s="48" t="s">
        <v>78</v>
      </c>
      <c r="F23" s="50"/>
      <c r="G23" s="66"/>
      <c r="H23" s="67"/>
      <c r="I23" s="68"/>
      <c r="J23" s="69"/>
      <c r="K23" s="68"/>
      <c r="L23" s="69"/>
      <c r="M23" s="68"/>
      <c r="N23" s="69"/>
      <c r="O23" s="70">
        <f>SUM(G23:N25)</f>
        <v>0</v>
      </c>
      <c r="P23" s="71"/>
      <c r="Q23" s="35"/>
      <c r="R23" s="35"/>
      <c r="S23" s="35"/>
      <c r="T23" s="35"/>
      <c r="U23" s="35"/>
      <c r="V23" s="35"/>
      <c r="W23" s="35"/>
      <c r="X23" s="35"/>
      <c r="Y23" s="35"/>
    </row>
    <row r="24" ht="21" customHeight="1" spans="1:25">
      <c r="A24" s="42"/>
      <c r="B24" s="36"/>
      <c r="C24" s="36"/>
      <c r="D24" s="36"/>
      <c r="E24" s="52"/>
      <c r="F24" s="54"/>
      <c r="G24" s="72"/>
      <c r="H24" s="73"/>
      <c r="I24" s="74"/>
      <c r="J24" s="75"/>
      <c r="K24" s="74"/>
      <c r="L24" s="75"/>
      <c r="M24" s="74"/>
      <c r="N24" s="75"/>
      <c r="O24" s="76"/>
      <c r="P24" s="77"/>
      <c r="Q24" s="35"/>
      <c r="R24" s="35"/>
      <c r="S24" s="35"/>
      <c r="T24" s="35"/>
      <c r="U24" s="35"/>
      <c r="V24" s="35"/>
      <c r="W24" s="35"/>
      <c r="X24" s="35"/>
      <c r="Y24" s="35"/>
    </row>
    <row r="25" ht="21" customHeight="1" spans="1:25">
      <c r="A25" s="42"/>
      <c r="B25" s="36"/>
      <c r="C25" s="36"/>
      <c r="D25" s="36"/>
      <c r="E25" s="56"/>
      <c r="F25" s="58"/>
      <c r="G25" s="78"/>
      <c r="H25" s="79"/>
      <c r="I25" s="80"/>
      <c r="J25" s="81"/>
      <c r="K25" s="80"/>
      <c r="L25" s="81"/>
      <c r="M25" s="80"/>
      <c r="N25" s="81"/>
      <c r="O25" s="82"/>
      <c r="P25" s="83"/>
    </row>
    <row r="26" ht="18.75" customHeight="1" spans="1:25">
      <c r="A26" s="42"/>
      <c r="B26" s="36"/>
      <c r="C26" s="36"/>
      <c r="D26" s="36"/>
      <c r="E26" s="84" t="s">
        <v>79</v>
      </c>
      <c r="F26" s="84"/>
      <c r="G26" s="32"/>
      <c r="H26" s="32"/>
      <c r="I26" s="32"/>
      <c r="J26" s="32"/>
      <c r="K26" s="32"/>
      <c r="L26" s="32"/>
      <c r="M26" s="32"/>
      <c r="N26" s="32"/>
      <c r="O26" s="40">
        <f t="shared" ref="O26:O28" si="4">SUM(G26:N26)</f>
        <v>0</v>
      </c>
      <c r="P26" s="40"/>
    </row>
    <row r="27" ht="18.75" customHeight="1" spans="1:25">
      <c r="A27" s="42"/>
      <c r="B27" s="36"/>
      <c r="C27" s="36"/>
      <c r="D27" s="36"/>
      <c r="E27" s="85" t="s">
        <v>80</v>
      </c>
      <c r="F27" s="86" t="s">
        <v>11</v>
      </c>
      <c r="G27" s="32"/>
      <c r="H27" s="32"/>
      <c r="I27" s="32"/>
      <c r="J27" s="32"/>
      <c r="K27" s="32"/>
      <c r="L27" s="32"/>
      <c r="M27" s="32"/>
      <c r="N27" s="32"/>
      <c r="O27" s="40">
        <f t="shared" si="4"/>
        <v>0</v>
      </c>
      <c r="P27" s="40"/>
    </row>
    <row r="28" ht="18.75" spans="1:25">
      <c r="A28" s="42"/>
      <c r="B28" s="36"/>
      <c r="C28" s="36"/>
      <c r="D28" s="36"/>
      <c r="E28" s="87"/>
      <c r="F28" s="86" t="s">
        <v>13</v>
      </c>
      <c r="G28" s="32"/>
      <c r="H28" s="32"/>
      <c r="I28" s="32"/>
      <c r="J28" s="32"/>
      <c r="K28" s="32"/>
      <c r="L28" s="32"/>
      <c r="M28" s="32"/>
      <c r="N28" s="32"/>
      <c r="O28" s="40">
        <f t="shared" si="4"/>
        <v>0</v>
      </c>
      <c r="P28" s="40"/>
    </row>
    <row r="29" ht="17.45" customHeight="1" spans="1:25">
      <c r="A29" s="42"/>
      <c r="B29" s="36" t="s">
        <v>81</v>
      </c>
      <c r="C29" s="36"/>
      <c r="D29" s="36"/>
      <c r="E29" s="88" t="s">
        <v>82</v>
      </c>
      <c r="F29" s="89"/>
      <c r="G29" s="32"/>
      <c r="H29" s="32"/>
      <c r="I29" s="32"/>
      <c r="J29" s="32"/>
      <c r="K29" s="32"/>
      <c r="L29" s="32"/>
      <c r="M29" s="32"/>
      <c r="N29" s="32"/>
      <c r="O29" s="40">
        <f>SUM(G29:N30)</f>
        <v>0</v>
      </c>
      <c r="P29" s="40"/>
    </row>
    <row r="30" ht="17.45" customHeight="1" spans="1:25">
      <c r="A30" s="42"/>
      <c r="B30" s="36"/>
      <c r="C30" s="36"/>
      <c r="D30" s="36"/>
      <c r="E30" s="89"/>
      <c r="F30" s="89"/>
      <c r="G30" s="32"/>
      <c r="H30" s="32"/>
      <c r="I30" s="32"/>
      <c r="J30" s="32"/>
      <c r="K30" s="32"/>
      <c r="L30" s="32"/>
      <c r="M30" s="32"/>
      <c r="N30" s="32"/>
      <c r="O30" s="40"/>
      <c r="P30" s="40"/>
    </row>
    <row r="31" ht="17.45" customHeight="1" spans="1:25">
      <c r="A31" s="42"/>
      <c r="B31" s="89" t="s">
        <v>83</v>
      </c>
      <c r="C31" s="89"/>
      <c r="D31" s="89"/>
      <c r="E31" s="89" t="s">
        <v>84</v>
      </c>
      <c r="F31" s="36"/>
      <c r="G31" s="32"/>
      <c r="H31" s="32"/>
      <c r="I31" s="32"/>
      <c r="J31" s="32"/>
      <c r="K31" s="32"/>
      <c r="L31" s="32"/>
      <c r="M31" s="32"/>
      <c r="N31" s="32"/>
      <c r="O31" s="40">
        <f>SUM(G31:N32)</f>
        <v>0</v>
      </c>
      <c r="P31" s="40"/>
    </row>
    <row r="32" ht="17.45" customHeight="1" spans="1:25">
      <c r="A32" s="42"/>
      <c r="B32" s="89"/>
      <c r="C32" s="89"/>
      <c r="D32" s="89"/>
      <c r="E32" s="36"/>
      <c r="F32" s="36"/>
      <c r="G32" s="32"/>
      <c r="H32" s="32"/>
      <c r="I32" s="32"/>
      <c r="J32" s="32"/>
      <c r="K32" s="32"/>
      <c r="L32" s="32"/>
      <c r="M32" s="32"/>
      <c r="N32" s="32"/>
      <c r="O32" s="40"/>
      <c r="P32" s="40"/>
    </row>
    <row r="33" ht="18.75" spans="1:16">
      <c r="A33" s="42"/>
      <c r="B33" s="90" t="s">
        <v>85</v>
      </c>
      <c r="C33" s="90"/>
      <c r="D33" s="90"/>
      <c r="E33" s="90" t="s">
        <v>86</v>
      </c>
      <c r="F33" s="90"/>
      <c r="G33" s="32"/>
      <c r="H33" s="32"/>
      <c r="I33" s="32"/>
      <c r="J33" s="32"/>
      <c r="K33" s="32"/>
      <c r="L33" s="32"/>
      <c r="M33" s="32"/>
      <c r="N33" s="32"/>
      <c r="O33" s="40">
        <f t="shared" ref="O33:O40" si="5">SUM(G33:N33)</f>
        <v>0</v>
      </c>
      <c r="P33" s="40"/>
    </row>
    <row r="34" ht="18.75" spans="1:16">
      <c r="A34" s="42"/>
      <c r="B34" s="90" t="s">
        <v>87</v>
      </c>
      <c r="C34" s="90"/>
      <c r="D34" s="90"/>
      <c r="E34" s="91" t="s">
        <v>88</v>
      </c>
      <c r="F34" s="90"/>
      <c r="G34" s="32"/>
      <c r="H34" s="32"/>
      <c r="I34" s="32"/>
      <c r="J34" s="32"/>
      <c r="K34" s="32"/>
      <c r="L34" s="32"/>
      <c r="M34" s="32"/>
      <c r="N34" s="32"/>
      <c r="O34" s="40">
        <f t="shared" si="5"/>
        <v>0</v>
      </c>
      <c r="P34" s="40"/>
    </row>
    <row r="35" ht="18.75" spans="1:16">
      <c r="A35" s="42"/>
      <c r="B35" s="90" t="s">
        <v>89</v>
      </c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</row>
    <row r="36" ht="17.45" customHeight="1" spans="1:16">
      <c r="A36" s="42"/>
      <c r="B36" s="92" t="s">
        <v>90</v>
      </c>
      <c r="C36" s="93"/>
      <c r="D36" s="93"/>
      <c r="E36" s="89" t="s">
        <v>91</v>
      </c>
      <c r="F36" s="89"/>
      <c r="G36" s="32"/>
      <c r="H36" s="32"/>
      <c r="I36" s="32"/>
      <c r="J36" s="32"/>
      <c r="K36" s="32"/>
      <c r="L36" s="32"/>
      <c r="M36" s="32"/>
      <c r="N36" s="32"/>
      <c r="O36" s="40">
        <f>SUM(G36:N37)</f>
        <v>0</v>
      </c>
      <c r="P36" s="40"/>
    </row>
    <row r="37" ht="17.45" customHeight="1" spans="1:16">
      <c r="A37" s="42"/>
      <c r="B37" s="93"/>
      <c r="C37" s="93"/>
      <c r="D37" s="93"/>
      <c r="E37" s="89"/>
      <c r="F37" s="89"/>
      <c r="G37" s="32"/>
      <c r="H37" s="32"/>
      <c r="I37" s="32"/>
      <c r="J37" s="32"/>
      <c r="K37" s="32"/>
      <c r="L37" s="32"/>
      <c r="M37" s="32"/>
      <c r="N37" s="32"/>
      <c r="O37" s="40"/>
      <c r="P37" s="40"/>
    </row>
    <row r="38" ht="18.75" customHeight="1" spans="1:16">
      <c r="A38" s="42"/>
      <c r="B38" s="36" t="s">
        <v>92</v>
      </c>
      <c r="C38" s="90"/>
      <c r="D38" s="90"/>
      <c r="E38" s="94" t="s">
        <v>93</v>
      </c>
      <c r="F38" s="95"/>
      <c r="G38" s="96"/>
      <c r="H38" s="97"/>
      <c r="I38" s="96"/>
      <c r="J38" s="97"/>
      <c r="K38" s="96"/>
      <c r="L38" s="97"/>
      <c r="M38" s="96"/>
      <c r="N38" s="97"/>
      <c r="O38" s="40">
        <f t="shared" si="5"/>
        <v>0</v>
      </c>
      <c r="P38" s="40"/>
    </row>
    <row r="39" ht="18.75" customHeight="1" spans="1:16">
      <c r="A39" s="42"/>
      <c r="B39" s="90"/>
      <c r="C39" s="90"/>
      <c r="D39" s="90"/>
      <c r="E39" s="94" t="s">
        <v>94</v>
      </c>
      <c r="F39" s="95"/>
      <c r="G39" s="96"/>
      <c r="H39" s="97"/>
      <c r="I39" s="96"/>
      <c r="J39" s="97"/>
      <c r="K39" s="96"/>
      <c r="L39" s="97"/>
      <c r="M39" s="96"/>
      <c r="N39" s="97"/>
      <c r="O39" s="40">
        <f t="shared" si="5"/>
        <v>0</v>
      </c>
      <c r="P39" s="40"/>
    </row>
    <row r="40" ht="18.75" spans="1:16">
      <c r="A40" s="45"/>
      <c r="B40" s="93" t="s">
        <v>95</v>
      </c>
      <c r="C40" s="93"/>
      <c r="D40" s="93"/>
      <c r="E40" s="98" t="s">
        <v>96</v>
      </c>
      <c r="F40" s="98"/>
      <c r="G40" s="32"/>
      <c r="H40" s="32"/>
      <c r="I40" s="32"/>
      <c r="J40" s="32"/>
      <c r="K40" s="32"/>
      <c r="L40" s="32"/>
      <c r="M40" s="32"/>
      <c r="N40" s="32"/>
      <c r="O40" s="40">
        <f t="shared" si="5"/>
        <v>0</v>
      </c>
      <c r="P40" s="40"/>
    </row>
    <row r="41" ht="18" customHeight="1" spans="1:16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65" t="s">
        <v>66</v>
      </c>
      <c r="P41" s="65" t="s">
        <v>67</v>
      </c>
    </row>
    <row r="42" ht="18.75" customHeight="1" spans="1:16">
      <c r="A42" s="100" t="s">
        <v>97</v>
      </c>
      <c r="B42" s="36" t="s">
        <v>98</v>
      </c>
      <c r="C42" s="36"/>
      <c r="D42" s="36"/>
      <c r="E42" s="101" t="s">
        <v>69</v>
      </c>
      <c r="F42" s="90"/>
      <c r="G42" s="102" t="s">
        <v>99</v>
      </c>
      <c r="H42" s="102"/>
      <c r="I42" s="102"/>
      <c r="J42" s="102"/>
      <c r="K42" s="102"/>
      <c r="L42" s="102"/>
      <c r="M42" s="102"/>
      <c r="N42" s="102"/>
      <c r="O42" s="103"/>
      <c r="P42" s="43">
        <f>'4年财报'!K8+O44-O43</f>
        <v>0</v>
      </c>
    </row>
    <row r="43" ht="18.75" customHeight="1" spans="1:16">
      <c r="A43" s="104"/>
      <c r="B43" s="36"/>
      <c r="C43" s="36"/>
      <c r="D43" s="36"/>
      <c r="E43" s="101" t="s">
        <v>100</v>
      </c>
      <c r="F43" s="90"/>
      <c r="G43" s="102" t="s">
        <v>101</v>
      </c>
      <c r="H43" s="102"/>
      <c r="I43" s="102"/>
      <c r="J43" s="102"/>
      <c r="K43" s="102"/>
      <c r="L43" s="102"/>
      <c r="M43" s="102"/>
      <c r="N43" s="102"/>
      <c r="O43" s="103"/>
      <c r="P43" s="44"/>
    </row>
    <row r="44" ht="18.75" customHeight="1" spans="1:16">
      <c r="A44" s="104"/>
      <c r="B44" s="36"/>
      <c r="C44" s="36"/>
      <c r="D44" s="36"/>
      <c r="E44" s="101" t="s">
        <v>102</v>
      </c>
      <c r="F44" s="90"/>
      <c r="G44" s="102" t="s">
        <v>101</v>
      </c>
      <c r="H44" s="102"/>
      <c r="I44" s="102"/>
      <c r="J44" s="102"/>
      <c r="K44" s="102"/>
      <c r="L44" s="102"/>
      <c r="M44" s="102"/>
      <c r="N44" s="102"/>
      <c r="O44" s="103"/>
      <c r="P44" s="46"/>
    </row>
    <row r="45" ht="18.75" customHeight="1" spans="1:16">
      <c r="A45" s="104"/>
      <c r="B45" s="105" t="s">
        <v>141</v>
      </c>
      <c r="C45" s="105"/>
      <c r="D45" s="105"/>
      <c r="E45" s="105"/>
      <c r="F45" s="106"/>
      <c r="G45" s="102" t="s">
        <v>101</v>
      </c>
      <c r="H45" s="102"/>
      <c r="I45" s="102"/>
      <c r="J45" s="102"/>
      <c r="K45" s="102"/>
      <c r="L45" s="102"/>
      <c r="M45" s="102"/>
      <c r="N45" s="102"/>
      <c r="O45" s="32"/>
      <c r="P45" s="32"/>
    </row>
    <row r="46" ht="18.75" customHeight="1" spans="1:16">
      <c r="A46" s="104"/>
      <c r="B46" s="107" t="s">
        <v>142</v>
      </c>
      <c r="C46" s="108"/>
      <c r="D46" s="109"/>
      <c r="E46" s="110" t="s">
        <v>105</v>
      </c>
      <c r="F46" s="111"/>
      <c r="G46" s="112" t="s">
        <v>143</v>
      </c>
      <c r="H46" s="113"/>
      <c r="I46" s="113"/>
      <c r="J46" s="113"/>
      <c r="K46" s="113"/>
      <c r="L46" s="113"/>
      <c r="M46" s="113"/>
      <c r="N46" s="114"/>
      <c r="O46" s="32"/>
      <c r="P46" s="32"/>
    </row>
    <row r="47" ht="18.75" spans="1:16">
      <c r="A47" s="104"/>
      <c r="B47" s="106"/>
      <c r="C47" s="115"/>
      <c r="D47" s="116"/>
      <c r="E47" s="110" t="s">
        <v>107</v>
      </c>
      <c r="F47" s="111"/>
      <c r="G47" s="117"/>
      <c r="H47" s="118"/>
      <c r="I47" s="118"/>
      <c r="J47" s="118"/>
      <c r="K47" s="118"/>
      <c r="L47" s="118"/>
      <c r="M47" s="118"/>
      <c r="N47" s="119"/>
      <c r="O47" s="120"/>
      <c r="P47" s="121"/>
    </row>
    <row r="48" ht="18.75" customHeight="1" spans="1:16">
      <c r="A48" s="104"/>
      <c r="B48" s="90" t="s">
        <v>144</v>
      </c>
      <c r="C48" s="90"/>
      <c r="D48" s="90"/>
      <c r="E48" s="90"/>
      <c r="F48" s="122"/>
      <c r="G48" s="123" t="s">
        <v>145</v>
      </c>
      <c r="H48" s="123"/>
      <c r="I48" s="123"/>
      <c r="J48" s="123"/>
      <c r="K48" s="123"/>
      <c r="L48" s="123"/>
      <c r="M48" s="123"/>
      <c r="N48" s="123"/>
      <c r="O48" s="32"/>
      <c r="P48" s="32"/>
    </row>
    <row r="49" ht="18.75" spans="1:16">
      <c r="A49" s="104"/>
      <c r="B49" s="107" t="s">
        <v>110</v>
      </c>
      <c r="C49" s="108"/>
      <c r="D49" s="108"/>
      <c r="E49" s="108"/>
      <c r="F49" s="108"/>
      <c r="G49" s="124"/>
      <c r="H49" s="102"/>
      <c r="I49" s="102"/>
      <c r="J49" s="102"/>
      <c r="K49" s="102"/>
      <c r="L49" s="102"/>
      <c r="M49" s="102"/>
      <c r="N49" s="102"/>
      <c r="O49" s="29">
        <f>'4年财报'!G7+O27-O23</f>
        <v>3</v>
      </c>
      <c r="P49" s="29"/>
    </row>
    <row r="50" ht="18.75" customHeight="1" spans="1:16">
      <c r="A50" s="104"/>
      <c r="B50" s="36" t="s">
        <v>111</v>
      </c>
      <c r="C50" s="36"/>
      <c r="D50" s="36"/>
      <c r="E50" s="36" t="s">
        <v>112</v>
      </c>
      <c r="F50" s="36"/>
      <c r="G50" s="36"/>
      <c r="H50" s="36"/>
      <c r="I50" s="36"/>
      <c r="J50" s="36"/>
      <c r="K50" s="36"/>
      <c r="L50" s="36"/>
      <c r="M50" s="36"/>
      <c r="N50" s="36"/>
      <c r="O50" s="29">
        <f>'4年财报'!G8+O28</f>
        <v>0</v>
      </c>
      <c r="P50" s="29"/>
    </row>
    <row r="51" ht="18.75" customHeight="1" spans="1:16">
      <c r="A51" s="104"/>
      <c r="B51" s="36"/>
      <c r="C51" s="36"/>
      <c r="D51" s="36"/>
      <c r="E51" s="36" t="s">
        <v>113</v>
      </c>
      <c r="F51" s="36"/>
      <c r="G51" s="36"/>
      <c r="H51" s="36"/>
      <c r="I51" s="36"/>
      <c r="J51" s="36"/>
      <c r="K51" s="36"/>
      <c r="L51" s="36"/>
      <c r="M51" s="36"/>
      <c r="N51" s="36"/>
      <c r="O51" s="40" t="str">
        <f>FIXED(O50/3,0,TRUE)</f>
        <v>0</v>
      </c>
      <c r="P51" s="40"/>
    </row>
    <row r="52" ht="18.75" customHeight="1" spans="1:16">
      <c r="A52" s="104"/>
      <c r="B52" s="36"/>
      <c r="C52" s="36"/>
      <c r="D52" s="36"/>
      <c r="E52" s="36" t="s">
        <v>114</v>
      </c>
      <c r="F52" s="36"/>
      <c r="G52" s="36"/>
      <c r="H52" s="36"/>
      <c r="I52" s="36"/>
      <c r="J52" s="36"/>
      <c r="K52" s="36"/>
      <c r="L52" s="36"/>
      <c r="M52" s="36"/>
      <c r="N52" s="36"/>
      <c r="O52" s="32"/>
      <c r="P52" s="32"/>
    </row>
    <row r="53" ht="18.75" customHeight="1" spans="1:16">
      <c r="A53" s="104"/>
      <c r="B53" s="59" t="s">
        <v>115</v>
      </c>
      <c r="C53" s="60"/>
      <c r="D53" s="61"/>
      <c r="E53" s="59" t="s">
        <v>116</v>
      </c>
      <c r="F53" s="60"/>
      <c r="G53" s="60"/>
      <c r="H53" s="60"/>
      <c r="I53" s="60"/>
      <c r="J53" s="60"/>
      <c r="K53" s="60"/>
      <c r="L53" s="60"/>
      <c r="M53" s="60"/>
      <c r="N53" s="61"/>
      <c r="O53" s="125"/>
      <c r="P53" s="126"/>
    </row>
    <row r="54" ht="18" customHeight="1" spans="1:16">
      <c r="A54" s="127" t="s">
        <v>117</v>
      </c>
      <c r="B54" s="128"/>
      <c r="C54" s="128"/>
      <c r="D54" s="128"/>
      <c r="E54" s="128"/>
      <c r="F54" s="129"/>
      <c r="G54" s="65" t="s">
        <v>60</v>
      </c>
      <c r="H54" s="65" t="s">
        <v>61</v>
      </c>
      <c r="I54" s="65" t="s">
        <v>62</v>
      </c>
      <c r="J54" s="65" t="s">
        <v>63</v>
      </c>
      <c r="K54" s="65" t="s">
        <v>64</v>
      </c>
      <c r="L54" s="65"/>
      <c r="M54" s="65" t="s">
        <v>65</v>
      </c>
      <c r="N54" s="65"/>
      <c r="O54" s="65" t="s">
        <v>66</v>
      </c>
      <c r="P54" s="65"/>
    </row>
    <row r="55" ht="18" customHeight="1" spans="1:16">
      <c r="A55" s="127"/>
      <c r="B55" s="90" t="s">
        <v>118</v>
      </c>
      <c r="C55" s="90"/>
      <c r="D55" s="90"/>
      <c r="E55" s="130" t="s">
        <v>119</v>
      </c>
      <c r="F55" s="131"/>
      <c r="G55" s="103"/>
      <c r="H55" s="103"/>
      <c r="I55" s="103"/>
      <c r="J55" s="103"/>
      <c r="K55" s="103"/>
      <c r="L55" s="103"/>
      <c r="M55" s="103"/>
      <c r="N55" s="103"/>
      <c r="O55" s="132">
        <f>SUM((G55:N56))</f>
        <v>0</v>
      </c>
      <c r="P55" s="132"/>
    </row>
    <row r="56" ht="18" customHeight="1" spans="1:16">
      <c r="A56" s="127"/>
      <c r="B56" s="90"/>
      <c r="C56" s="90"/>
      <c r="D56" s="90"/>
      <c r="E56" s="130"/>
      <c r="F56" s="131"/>
      <c r="G56" s="103"/>
      <c r="H56" s="103"/>
      <c r="I56" s="103"/>
      <c r="J56" s="103"/>
      <c r="K56" s="103"/>
      <c r="L56" s="103"/>
      <c r="M56" s="103"/>
      <c r="N56" s="103"/>
      <c r="O56" s="132"/>
      <c r="P56" s="132"/>
    </row>
    <row r="57" ht="18" customHeight="1" spans="1:16">
      <c r="A57" s="127"/>
      <c r="B57" s="90" t="s">
        <v>120</v>
      </c>
      <c r="C57" s="90"/>
      <c r="D57" s="90"/>
      <c r="E57" s="90"/>
      <c r="F57" s="122"/>
      <c r="G57" s="102" t="s">
        <v>101</v>
      </c>
      <c r="H57" s="102"/>
      <c r="I57" s="102"/>
      <c r="J57" s="102"/>
      <c r="K57" s="102"/>
      <c r="L57" s="102"/>
      <c r="M57" s="102"/>
      <c r="N57" s="102"/>
      <c r="O57" s="133"/>
      <c r="P57" s="134"/>
    </row>
    <row r="58" ht="18" customHeight="1" spans="1:16">
      <c r="A58" s="127"/>
      <c r="B58" s="90" t="s">
        <v>121</v>
      </c>
      <c r="C58" s="90"/>
      <c r="D58" s="90"/>
      <c r="E58" s="90"/>
      <c r="F58" s="122"/>
      <c r="G58" s="102" t="s">
        <v>101</v>
      </c>
      <c r="H58" s="102"/>
      <c r="I58" s="102"/>
      <c r="J58" s="102"/>
      <c r="K58" s="102"/>
      <c r="L58" s="102"/>
      <c r="M58" s="102"/>
      <c r="N58" s="102"/>
      <c r="O58" s="103"/>
      <c r="P58" s="103"/>
    </row>
    <row r="59" ht="18.75" customHeight="1" spans="1:16">
      <c r="B59" s="30" t="s">
        <v>21</v>
      </c>
      <c r="C59" s="135">
        <f>'4年财报'!$G$13+$F$59-$I$59</f>
        <v>35</v>
      </c>
      <c r="D59" s="84" t="s">
        <v>122</v>
      </c>
      <c r="E59" s="84"/>
      <c r="F59" s="33">
        <f>$O$12+$O$23+$O$36+$O$44+$O$47+$O$58</f>
        <v>0</v>
      </c>
      <c r="G59" s="84" t="s">
        <v>123</v>
      </c>
      <c r="H59" s="136"/>
      <c r="I59" s="137">
        <f>$M$1+$P$5+$O$10+$O$11+$O$18+$O$21+$O$22+$O$26+$O$29+$O$31+$O$33+$O$34+$O$40+$O$45+$O$46+$O$42+$O$43+$O$48+$O$53+$O$55+$O$57</f>
        <v>0</v>
      </c>
      <c r="J59" s="138" t="s">
        <v>124</v>
      </c>
      <c r="K59" s="139" t="e">
        <f>$O$5/$P$5</f>
        <v>#DIV/0!</v>
      </c>
      <c r="L59" s="140" t="s">
        <v>125</v>
      </c>
      <c r="M59" s="141" t="e">
        <f>$O$33/($O$38+$O$58)</f>
        <v>#DIV/0!</v>
      </c>
      <c r="N59" s="142" t="s">
        <v>126</v>
      </c>
      <c r="O59" s="143">
        <f>($O$38-$O$39--$O$11-$P$5-$M$1-$O$21-$O$22--$O$29-$O$33-$O$34-$O$42-$O$45-$O$48-$O$53-$O$57+$O$58)/($O$31*7+5)*100</f>
        <v>0</v>
      </c>
    </row>
    <row r="60" ht="18.75" spans="1:16">
      <c r="A60" s="144" t="s">
        <v>27</v>
      </c>
      <c r="B60" s="145"/>
      <c r="C60" s="33">
        <f>$O$11+$O$42+$O$55</f>
        <v>0</v>
      </c>
      <c r="D60" s="138" t="s">
        <v>127</v>
      </c>
      <c r="E60" s="33">
        <f>$O$46-$O$47</f>
        <v>0</v>
      </c>
      <c r="F60" s="146" t="s">
        <v>128</v>
      </c>
      <c r="G60" s="40">
        <f>$O$38-$O$36</f>
        <v>0</v>
      </c>
      <c r="H60" s="147" t="s">
        <v>146</v>
      </c>
      <c r="I60" s="148">
        <f>'5年财报'!$C$22/'5年财报'!$K$19</f>
        <v>0</v>
      </c>
      <c r="J60" s="149" t="s">
        <v>130</v>
      </c>
      <c r="K60" s="148">
        <f>'5年财报'!$C$22/'5年财报'!$G$22</f>
        <v>0</v>
      </c>
      <c r="L60" s="150"/>
      <c r="M60" s="151"/>
      <c r="N60" s="150"/>
      <c r="O60" s="152"/>
      <c r="P60" s="153"/>
    </row>
    <row r="61" ht="18.75" spans="1:16">
      <c r="A61" s="144" t="s">
        <v>30</v>
      </c>
      <c r="B61" s="145"/>
      <c r="C61" s="33">
        <f>$O$58-$O$57</f>
        <v>0</v>
      </c>
      <c r="D61" s="154" t="s">
        <v>131</v>
      </c>
      <c r="E61" s="33">
        <f>$O$27-$O$23</f>
        <v>0</v>
      </c>
      <c r="F61" s="154" t="s">
        <v>132</v>
      </c>
      <c r="G61" s="40">
        <f>$O$28-$O$51</f>
        <v>0</v>
      </c>
      <c r="H61" s="155" t="s">
        <v>133</v>
      </c>
      <c r="I61" s="148" t="e">
        <f>'5年财报'!$C$22/'5年财报'!$C$4</f>
        <v>#DIV/0!</v>
      </c>
      <c r="J61" s="147" t="s">
        <v>134</v>
      </c>
      <c r="K61" s="148" t="e">
        <f>1-'5年财报'!$C$5/'5年财报'!$C$4</f>
        <v>#DIV/0!</v>
      </c>
      <c r="L61" s="151"/>
      <c r="M61" s="151"/>
      <c r="N61" s="151"/>
      <c r="O61" s="151"/>
      <c r="P61" s="153"/>
    </row>
    <row r="62" ht="14.25" spans="1:16">
      <c r="A62" s="153"/>
      <c r="B62" s="153"/>
      <c r="C62" s="153"/>
      <c r="D62" s="156"/>
      <c r="E62" s="153"/>
      <c r="F62" s="153"/>
      <c r="G62" s="153"/>
      <c r="H62" s="157"/>
      <c r="I62" s="158"/>
      <c r="J62" s="150"/>
      <c r="K62" s="158"/>
      <c r="L62" s="153"/>
      <c r="M62" s="153"/>
      <c r="N62" s="153"/>
      <c r="O62" s="153"/>
      <c r="P62" s="153"/>
    </row>
    <row r="63" ht="14.25" spans="1:16">
      <c r="A63" s="153"/>
      <c r="B63" s="153"/>
      <c r="C63" s="153"/>
      <c r="D63" s="156"/>
      <c r="E63" s="153"/>
      <c r="F63" s="153"/>
      <c r="G63" s="153"/>
      <c r="H63" s="157"/>
      <c r="I63" s="158"/>
      <c r="J63" s="150"/>
      <c r="K63" s="158"/>
      <c r="L63" s="153"/>
      <c r="M63" s="153"/>
      <c r="N63" s="153"/>
      <c r="O63" s="153"/>
      <c r="P63" s="153"/>
    </row>
    <row r="64" ht="14.25" spans="1:16">
      <c r="A64" s="153"/>
      <c r="B64" s="153"/>
      <c r="C64" s="153"/>
      <c r="D64" s="156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</row>
    <row r="65" ht="14.25" spans="1:16">
      <c r="A65" s="153"/>
      <c r="B65" s="153"/>
      <c r="C65" s="153"/>
      <c r="D65" s="156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</row>
    <row r="66" ht="14.25" spans="1:16">
      <c r="A66" s="153"/>
      <c r="B66" s="153"/>
      <c r="C66" s="153"/>
      <c r="D66" s="156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</row>
    <row r="67" ht="14.25" spans="1:16">
      <c r="A67" s="153"/>
      <c r="B67" s="153"/>
      <c r="C67" s="153"/>
      <c r="D67" s="156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</row>
    <row r="68" ht="14.25" spans="1:16">
      <c r="A68" s="153"/>
      <c r="B68" s="153"/>
      <c r="C68" s="153"/>
      <c r="D68" s="156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</row>
    <row r="69" ht="14.25" spans="1:16">
      <c r="A69" s="153"/>
      <c r="B69" s="153"/>
      <c r="C69" s="153"/>
      <c r="D69" s="156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</row>
  </sheetData>
  <mergeCells count="265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D59:E59"/>
    <mergeCell ref="G59:H59"/>
    <mergeCell ref="A60:B60"/>
    <mergeCell ref="A61:B61"/>
    <mergeCell ref="A1:A8"/>
    <mergeCell ref="A9:A12"/>
    <mergeCell ref="A13:A18"/>
    <mergeCell ref="A19:A40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"/>
  <sheetViews>
    <sheetView zoomScale="130" zoomScaleNormal="130" workbookViewId="0">
      <selection activeCell="G5" sqref="G5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'5年经营'!O38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'5年经营'!O39</f>
        <v>0</v>
      </c>
      <c r="D5" s="5"/>
      <c r="E5" s="5"/>
      <c r="F5" s="9" t="s">
        <v>8</v>
      </c>
      <c r="G5" s="10">
        <f>'5年经营'!O52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'4年财报'!G6+'5年经营'!E60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'4年财报'!G7+'5年经营'!E61</f>
        <v>3</v>
      </c>
      <c r="H7" s="5"/>
      <c r="I7" s="5"/>
      <c r="J7" s="9" t="s">
        <v>12</v>
      </c>
      <c r="K7" s="10">
        <f>'5年经营'!P10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'4年财报'!G8+'5年经营'!G61</f>
        <v>0</v>
      </c>
      <c r="H8" s="5"/>
      <c r="I8" s="5"/>
      <c r="J8" s="9" t="s">
        <v>14</v>
      </c>
      <c r="K8" s="10">
        <f>'5年经营'!P42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135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'5年经营'!O2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'5年经营'!O51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'5年经营'!C59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'4年财报'!G14+'5年经营'!O38-'5年经营'!O36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'4年财报'!K15</f>
        <v>50</v>
      </c>
      <c r="L15" s="5"/>
    </row>
    <row r="16" s="1" customFormat="1" ht="20.1" customHeight="1" spans="2:12">
      <c r="B16" s="9" t="s">
        <v>27</v>
      </c>
      <c r="C16" s="10">
        <f>'5年经营'!C60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'4年财报'!K16+'4年财报'!K17</f>
        <v>19</v>
      </c>
    </row>
    <row r="17" s="1" customFormat="1" ht="20.1" customHeight="1" spans="2:11">
      <c r="B17" s="9" t="s">
        <v>30</v>
      </c>
      <c r="C17" s="10">
        <f>'5年经营'!C61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4" ht="21.95" customHeight="1" spans="2:11">
      <c r="B24" s="19" t="s">
        <v>136</v>
      </c>
      <c r="C24" s="20"/>
      <c r="D24" s="21" t="s">
        <v>137</v>
      </c>
    </row>
    <row r="25" ht="21.95" customHeight="1" spans="2:11">
      <c r="B25" s="19" t="s">
        <v>138</v>
      </c>
      <c r="C25" s="22"/>
      <c r="D25" s="21"/>
    </row>
    <row r="26" ht="20.1" customHeight="1" spans="2:11">
      <c r="B26" s="19" t="s">
        <v>139</v>
      </c>
      <c r="C26" s="23"/>
      <c r="D26" s="21"/>
    </row>
  </sheetData>
  <mergeCells count="10">
    <mergeCell ref="B2:C2"/>
    <mergeCell ref="F2:K2"/>
    <mergeCell ref="F3:G3"/>
    <mergeCell ref="J3:K3"/>
    <mergeCell ref="F4:G4"/>
    <mergeCell ref="J4:K4"/>
    <mergeCell ref="F11:G11"/>
    <mergeCell ref="J13:K13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workbookViewId="0">
      <selection activeCell="G8" sqref="G8:H8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24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25" t="s">
        <v>40</v>
      </c>
      <c r="B1" s="26" t="s">
        <v>41</v>
      </c>
      <c r="C1" s="27"/>
      <c r="D1" s="28"/>
      <c r="E1" s="26" t="s">
        <v>42</v>
      </c>
      <c r="F1" s="27"/>
      <c r="G1" s="27"/>
      <c r="H1" s="27"/>
      <c r="I1" s="27"/>
      <c r="J1" s="27"/>
      <c r="K1" s="27"/>
      <c r="L1" s="28"/>
      <c r="M1" s="29" t="str">
        <f>'5年财报'!C21</f>
        <v>0</v>
      </c>
      <c r="N1" s="29"/>
      <c r="O1" s="30" t="s">
        <v>16</v>
      </c>
      <c r="P1" s="30"/>
    </row>
    <row r="2" ht="18" customHeight="1" spans="1:25">
      <c r="A2" s="25"/>
      <c r="B2" s="26" t="s">
        <v>43</v>
      </c>
      <c r="C2" s="27"/>
      <c r="D2" s="28"/>
      <c r="E2" s="26" t="s">
        <v>44</v>
      </c>
      <c r="F2" s="27"/>
      <c r="G2" s="27"/>
      <c r="H2" s="27"/>
      <c r="I2" s="27"/>
      <c r="J2" s="27"/>
      <c r="K2" s="31" t="s">
        <v>45</v>
      </c>
      <c r="L2" s="31"/>
      <c r="M2" s="32"/>
      <c r="N2" s="32"/>
      <c r="O2" s="33">
        <f>P5+O21+O22+O29+O33+O34+O40+O45+O48+O53</f>
        <v>0</v>
      </c>
      <c r="P2" s="34"/>
      <c r="Q2" s="35"/>
      <c r="R2" s="35"/>
      <c r="S2" s="35"/>
      <c r="T2" s="35"/>
      <c r="U2" s="35"/>
      <c r="V2" s="35"/>
      <c r="W2" s="35"/>
      <c r="X2" s="35"/>
      <c r="Y2" s="35"/>
    </row>
    <row r="3" ht="18" customHeight="1" spans="1:25">
      <c r="A3" s="25"/>
      <c r="B3" s="36" t="s">
        <v>46</v>
      </c>
      <c r="C3" s="36"/>
      <c r="D3" s="31" t="s">
        <v>47</v>
      </c>
      <c r="E3" s="31" t="s">
        <v>48</v>
      </c>
      <c r="F3" s="31"/>
      <c r="G3" s="31" t="s">
        <v>49</v>
      </c>
      <c r="H3" s="31"/>
      <c r="I3" s="37" t="s">
        <v>50</v>
      </c>
      <c r="J3" s="38"/>
      <c r="K3" s="31" t="s">
        <v>51</v>
      </c>
      <c r="L3" s="31"/>
      <c r="M3" s="31" t="s">
        <v>52</v>
      </c>
      <c r="N3" s="31"/>
      <c r="O3" s="39" t="s">
        <v>53</v>
      </c>
      <c r="P3" s="39" t="s">
        <v>54</v>
      </c>
      <c r="Q3" s="35"/>
      <c r="R3" s="35"/>
      <c r="S3" s="35"/>
      <c r="T3" s="35"/>
      <c r="U3" s="35"/>
      <c r="V3" s="35"/>
      <c r="W3" s="35"/>
      <c r="X3" s="35"/>
      <c r="Y3" s="35"/>
    </row>
    <row r="4" ht="18" customHeight="1" spans="1:25">
      <c r="A4" s="25"/>
      <c r="B4" s="36"/>
      <c r="C4" s="36"/>
      <c r="D4" s="31"/>
      <c r="E4" s="31" t="s">
        <v>55</v>
      </c>
      <c r="F4" s="31"/>
      <c r="G4" s="31" t="s">
        <v>55</v>
      </c>
      <c r="H4" s="31"/>
      <c r="I4" s="31" t="s">
        <v>55</v>
      </c>
      <c r="J4" s="31"/>
      <c r="K4" s="31" t="s">
        <v>55</v>
      </c>
      <c r="L4" s="31"/>
      <c r="M4" s="31"/>
      <c r="N4" s="31"/>
      <c r="O4" s="39"/>
      <c r="P4" s="39"/>
      <c r="Q4" s="35"/>
      <c r="R4" s="35"/>
      <c r="S4" s="35"/>
      <c r="T4" s="35"/>
      <c r="U4" s="35"/>
      <c r="V4" s="35"/>
      <c r="W4" s="35"/>
      <c r="X4" s="35"/>
      <c r="Y4" s="35"/>
    </row>
    <row r="5" ht="18" customHeight="1" spans="1:25">
      <c r="A5" s="25"/>
      <c r="B5" s="36"/>
      <c r="C5" s="36"/>
      <c r="D5" s="31" t="s">
        <v>56</v>
      </c>
      <c r="E5" s="32"/>
      <c r="F5" s="32"/>
      <c r="G5" s="32"/>
      <c r="H5" s="32"/>
      <c r="I5" s="32"/>
      <c r="J5" s="32"/>
      <c r="K5" s="32"/>
      <c r="L5" s="32"/>
      <c r="M5" s="40">
        <f t="shared" ref="M5:M8" si="0">SUM(E5:L5)</f>
        <v>0</v>
      </c>
      <c r="N5" s="40"/>
      <c r="O5" s="40">
        <f>SUM(M5:N8)</f>
        <v>0</v>
      </c>
      <c r="P5" s="32"/>
      <c r="Q5" s="35"/>
      <c r="R5" s="35"/>
      <c r="S5" s="35"/>
      <c r="T5" s="35"/>
      <c r="U5" s="35"/>
      <c r="V5" s="35"/>
      <c r="W5" s="35"/>
      <c r="X5" s="35"/>
      <c r="Y5" s="35"/>
    </row>
    <row r="6" ht="18" customHeight="1" spans="1:25">
      <c r="A6" s="25"/>
      <c r="B6" s="36"/>
      <c r="C6" s="36"/>
      <c r="D6" s="31" t="s">
        <v>47</v>
      </c>
      <c r="E6" s="32"/>
      <c r="F6" s="32"/>
      <c r="G6" s="32"/>
      <c r="H6" s="32"/>
      <c r="I6" s="32"/>
      <c r="J6" s="32"/>
      <c r="K6" s="32"/>
      <c r="L6" s="32"/>
      <c r="M6" s="40">
        <f t="shared" si="0"/>
        <v>0</v>
      </c>
      <c r="N6" s="40"/>
      <c r="O6" s="40"/>
      <c r="P6" s="32"/>
      <c r="Q6" s="35"/>
      <c r="R6" s="35"/>
      <c r="S6" s="35"/>
      <c r="T6" s="35"/>
      <c r="U6" s="35"/>
      <c r="V6" s="35"/>
      <c r="W6" s="35"/>
      <c r="X6" s="35"/>
      <c r="Y6" s="35"/>
    </row>
    <row r="7" ht="18" customHeight="1" spans="1:25">
      <c r="A7" s="25"/>
      <c r="B7" s="36"/>
      <c r="C7" s="36"/>
      <c r="D7" s="31" t="s">
        <v>57</v>
      </c>
      <c r="E7" s="32"/>
      <c r="F7" s="32"/>
      <c r="G7" s="32"/>
      <c r="H7" s="32"/>
      <c r="I7" s="32"/>
      <c r="J7" s="32"/>
      <c r="K7" s="32"/>
      <c r="L7" s="32"/>
      <c r="M7" s="40">
        <f t="shared" si="0"/>
        <v>0</v>
      </c>
      <c r="N7" s="40"/>
      <c r="O7" s="40"/>
      <c r="P7" s="32"/>
      <c r="Q7" s="24"/>
      <c r="R7" s="35"/>
      <c r="S7" s="35"/>
      <c r="T7" s="35"/>
      <c r="U7" s="35"/>
      <c r="V7" s="35"/>
      <c r="W7" s="35"/>
      <c r="X7" s="35"/>
      <c r="Y7" s="35"/>
    </row>
    <row r="8" ht="18" customHeight="1" spans="1:25">
      <c r="A8" s="25"/>
      <c r="B8" s="36"/>
      <c r="C8" s="36"/>
      <c r="D8" s="31" t="s">
        <v>58</v>
      </c>
      <c r="E8" s="32"/>
      <c r="F8" s="32"/>
      <c r="G8" s="32"/>
      <c r="H8" s="32"/>
      <c r="I8" s="32"/>
      <c r="J8" s="32"/>
      <c r="K8" s="32"/>
      <c r="L8" s="32"/>
      <c r="M8" s="40">
        <f t="shared" si="0"/>
        <v>0</v>
      </c>
      <c r="N8" s="40"/>
      <c r="O8" s="40"/>
      <c r="P8" s="32"/>
      <c r="Q8" s="24"/>
      <c r="R8" s="35"/>
      <c r="S8" s="35"/>
      <c r="T8" s="35"/>
      <c r="U8" s="35"/>
      <c r="V8" s="35"/>
      <c r="W8" s="35"/>
      <c r="X8" s="35"/>
      <c r="Y8" s="35"/>
    </row>
    <row r="9" ht="18" customHeight="1" spans="1:25">
      <c r="A9" s="41" t="s">
        <v>140</v>
      </c>
      <c r="B9" s="36" t="s">
        <v>59</v>
      </c>
      <c r="C9" s="36"/>
      <c r="D9" s="36"/>
      <c r="E9" s="31"/>
      <c r="F9" s="31"/>
      <c r="G9" s="31" t="s">
        <v>60</v>
      </c>
      <c r="H9" s="31" t="s">
        <v>61</v>
      </c>
      <c r="I9" s="31" t="s">
        <v>62</v>
      </c>
      <c r="J9" s="31" t="s">
        <v>63</v>
      </c>
      <c r="K9" s="31" t="s">
        <v>64</v>
      </c>
      <c r="L9" s="31"/>
      <c r="M9" s="31" t="s">
        <v>65</v>
      </c>
      <c r="N9" s="31"/>
      <c r="O9" s="31" t="s">
        <v>66</v>
      </c>
      <c r="P9" s="31" t="s">
        <v>67</v>
      </c>
      <c r="Q9" s="35"/>
      <c r="R9" s="35"/>
      <c r="S9" s="35"/>
      <c r="T9" s="35"/>
      <c r="U9" s="35"/>
      <c r="V9" s="35"/>
      <c r="W9" s="35"/>
      <c r="X9" s="35"/>
      <c r="Y9" s="35"/>
    </row>
    <row r="10" ht="18" customHeight="1" spans="1:25">
      <c r="A10" s="42"/>
      <c r="B10" s="36"/>
      <c r="C10" s="36"/>
      <c r="D10" s="36"/>
      <c r="E10" s="31" t="s">
        <v>68</v>
      </c>
      <c r="F10" s="31"/>
      <c r="G10" s="32"/>
      <c r="H10" s="32"/>
      <c r="I10" s="32"/>
      <c r="J10" s="32"/>
      <c r="K10" s="32"/>
      <c r="L10" s="32"/>
      <c r="M10" s="32"/>
      <c r="N10" s="32"/>
      <c r="O10" s="40">
        <f t="shared" ref="O10:O12" si="1">SUM(G10:N10)</f>
        <v>0</v>
      </c>
      <c r="P10" s="43">
        <f>'5年财报'!K7+O12-O10</f>
        <v>20</v>
      </c>
      <c r="Q10" s="35"/>
      <c r="R10" s="35"/>
      <c r="S10" s="35"/>
      <c r="T10" s="35"/>
      <c r="U10" s="35"/>
      <c r="V10" s="35"/>
      <c r="W10" s="35"/>
      <c r="X10" s="35"/>
      <c r="Y10" s="35"/>
    </row>
    <row r="11" ht="18" customHeight="1" spans="1:25">
      <c r="A11" s="42"/>
      <c r="B11" s="36"/>
      <c r="C11" s="36"/>
      <c r="D11" s="36"/>
      <c r="E11" s="31" t="s">
        <v>69</v>
      </c>
      <c r="F11" s="31"/>
      <c r="G11" s="32"/>
      <c r="H11" s="32"/>
      <c r="I11" s="32"/>
      <c r="J11" s="32"/>
      <c r="K11" s="32"/>
      <c r="L11" s="32"/>
      <c r="M11" s="32"/>
      <c r="N11" s="32"/>
      <c r="O11" s="40">
        <f t="shared" si="1"/>
        <v>0</v>
      </c>
      <c r="P11" s="44"/>
      <c r="Q11" s="35"/>
      <c r="R11" s="35"/>
      <c r="S11" s="35"/>
      <c r="T11" s="35"/>
      <c r="U11" s="35"/>
      <c r="V11" s="35"/>
      <c r="W11" s="35"/>
      <c r="X11" s="35"/>
      <c r="Y11" s="35"/>
    </row>
    <row r="12" ht="18" customHeight="1" spans="1:25">
      <c r="A12" s="45"/>
      <c r="B12" s="36"/>
      <c r="C12" s="36"/>
      <c r="D12" s="36"/>
      <c r="E12" s="31" t="s">
        <v>70</v>
      </c>
      <c r="F12" s="31"/>
      <c r="G12" s="32"/>
      <c r="H12" s="32"/>
      <c r="I12" s="32"/>
      <c r="J12" s="32"/>
      <c r="K12" s="32"/>
      <c r="L12" s="32"/>
      <c r="M12" s="32"/>
      <c r="N12" s="32"/>
      <c r="O12" s="40">
        <f t="shared" si="1"/>
        <v>0</v>
      </c>
      <c r="P12" s="46"/>
      <c r="Q12" s="35"/>
      <c r="R12" s="35"/>
      <c r="S12" s="35"/>
      <c r="T12" s="35"/>
      <c r="U12" s="35"/>
      <c r="V12" s="35"/>
      <c r="W12" s="35"/>
      <c r="X12" s="35"/>
      <c r="Y12" s="35"/>
    </row>
    <row r="13" ht="18" customHeight="1" spans="1:25">
      <c r="A13" s="47" t="s">
        <v>71</v>
      </c>
      <c r="B13" s="48" t="s">
        <v>72</v>
      </c>
      <c r="C13" s="49"/>
      <c r="D13" s="50"/>
      <c r="E13" s="37"/>
      <c r="F13" s="38"/>
      <c r="G13" s="31" t="s">
        <v>60</v>
      </c>
      <c r="H13" s="31" t="s">
        <v>61</v>
      </c>
      <c r="I13" s="31" t="s">
        <v>62</v>
      </c>
      <c r="J13" s="31" t="s">
        <v>63</v>
      </c>
      <c r="K13" s="31" t="s">
        <v>64</v>
      </c>
      <c r="L13" s="31"/>
      <c r="M13" s="31" t="s">
        <v>65</v>
      </c>
      <c r="N13" s="31"/>
      <c r="O13" s="31" t="s">
        <v>66</v>
      </c>
      <c r="P13" s="31"/>
      <c r="Q13" s="35"/>
      <c r="R13" s="35"/>
      <c r="S13" s="35"/>
      <c r="T13" s="35"/>
      <c r="U13" s="35"/>
      <c r="V13" s="35"/>
      <c r="W13" s="35"/>
      <c r="X13" s="35"/>
      <c r="Y13" s="35"/>
    </row>
    <row r="14" ht="18" customHeight="1" spans="1:25">
      <c r="A14" s="51"/>
      <c r="B14" s="52"/>
      <c r="C14" s="53"/>
      <c r="D14" s="54"/>
      <c r="E14" s="37" t="s">
        <v>48</v>
      </c>
      <c r="F14" s="38"/>
      <c r="G14" s="32"/>
      <c r="H14" s="32"/>
      <c r="I14" s="32"/>
      <c r="J14" s="32"/>
      <c r="K14" s="32"/>
      <c r="L14" s="32"/>
      <c r="M14" s="32"/>
      <c r="N14" s="32"/>
      <c r="O14" s="33">
        <f t="shared" ref="O14:O18" si="2">G14+I14+K14+M14</f>
        <v>0</v>
      </c>
      <c r="P14" s="34"/>
      <c r="Q14" s="35"/>
      <c r="R14" s="35"/>
      <c r="S14" s="35"/>
      <c r="T14" s="35"/>
      <c r="U14" s="35"/>
      <c r="V14" s="35"/>
      <c r="W14" s="35"/>
      <c r="X14" s="35"/>
      <c r="Y14" s="35"/>
    </row>
    <row r="15" ht="18" customHeight="1" spans="1:25">
      <c r="A15" s="51"/>
      <c r="B15" s="52"/>
      <c r="C15" s="53"/>
      <c r="D15" s="54"/>
      <c r="E15" s="37" t="s">
        <v>49</v>
      </c>
      <c r="F15" s="38"/>
      <c r="G15" s="32"/>
      <c r="H15" s="32"/>
      <c r="I15" s="32"/>
      <c r="J15" s="32"/>
      <c r="K15" s="32"/>
      <c r="L15" s="32"/>
      <c r="M15" s="32"/>
      <c r="N15" s="32"/>
      <c r="O15" s="33">
        <f t="shared" si="2"/>
        <v>0</v>
      </c>
      <c r="P15" s="34"/>
      <c r="Q15" s="35"/>
      <c r="R15" s="35"/>
      <c r="S15" s="35"/>
      <c r="T15" s="35"/>
      <c r="U15" s="35"/>
      <c r="V15" s="35"/>
      <c r="W15" s="35"/>
      <c r="X15" s="35"/>
      <c r="Y15" s="35"/>
    </row>
    <row r="16" ht="18" customHeight="1" spans="1:25">
      <c r="A16" s="51"/>
      <c r="B16" s="52"/>
      <c r="C16" s="53"/>
      <c r="D16" s="54"/>
      <c r="E16" s="37" t="s">
        <v>50</v>
      </c>
      <c r="F16" s="38"/>
      <c r="G16" s="32"/>
      <c r="H16" s="32"/>
      <c r="I16" s="32"/>
      <c r="J16" s="32"/>
      <c r="K16" s="32"/>
      <c r="L16" s="32"/>
      <c r="M16" s="32"/>
      <c r="N16" s="32"/>
      <c r="O16" s="33">
        <f t="shared" si="2"/>
        <v>0</v>
      </c>
      <c r="P16" s="34"/>
      <c r="Q16" s="35"/>
      <c r="R16" s="35"/>
      <c r="S16" s="35"/>
      <c r="T16" s="35"/>
      <c r="U16" s="35"/>
      <c r="V16" s="35"/>
      <c r="W16" s="35"/>
      <c r="X16" s="35"/>
      <c r="Y16" s="35"/>
    </row>
    <row r="17" ht="18" customHeight="1" spans="1:25">
      <c r="A17" s="51"/>
      <c r="B17" s="52"/>
      <c r="C17" s="53"/>
      <c r="D17" s="54"/>
      <c r="E17" s="37" t="s">
        <v>51</v>
      </c>
      <c r="F17" s="38"/>
      <c r="G17" s="32"/>
      <c r="H17" s="32"/>
      <c r="I17" s="32"/>
      <c r="J17" s="32"/>
      <c r="K17" s="32"/>
      <c r="L17" s="32"/>
      <c r="M17" s="32"/>
      <c r="N17" s="32"/>
      <c r="O17" s="33">
        <f t="shared" si="2"/>
        <v>0</v>
      </c>
      <c r="P17" s="34"/>
      <c r="Q17" s="35"/>
      <c r="R17" s="35"/>
      <c r="S17" s="35"/>
      <c r="T17" s="35"/>
      <c r="U17" s="35"/>
      <c r="V17" s="35"/>
      <c r="W17" s="35"/>
      <c r="X17" s="35"/>
      <c r="Y17" s="35"/>
    </row>
    <row r="18" ht="18" customHeight="1" spans="1:25">
      <c r="A18" s="55"/>
      <c r="B18" s="56"/>
      <c r="C18" s="57"/>
      <c r="D18" s="58"/>
      <c r="E18" s="37" t="s">
        <v>73</v>
      </c>
      <c r="F18" s="38"/>
      <c r="G18" s="33">
        <f t="shared" ref="G18:K18" si="3">G14+G15+G16+G17</f>
        <v>0</v>
      </c>
      <c r="H18" s="34">
        <f>SUM(H14:H17)</f>
        <v>0</v>
      </c>
      <c r="I18" s="33">
        <f t="shared" si="3"/>
        <v>0</v>
      </c>
      <c r="J18" s="34"/>
      <c r="K18" s="33">
        <f t="shared" si="3"/>
        <v>0</v>
      </c>
      <c r="L18" s="34"/>
      <c r="M18" s="33">
        <f>M14+M15+M16+M17</f>
        <v>0</v>
      </c>
      <c r="N18" s="34"/>
      <c r="O18" s="33">
        <f t="shared" si="2"/>
        <v>0</v>
      </c>
      <c r="P18" s="34"/>
      <c r="Q18" s="35"/>
      <c r="R18" s="35"/>
      <c r="S18" s="35"/>
      <c r="T18" s="35"/>
      <c r="U18" s="35"/>
      <c r="V18" s="35"/>
      <c r="W18" s="35"/>
      <c r="X18" s="35"/>
      <c r="Y18" s="35"/>
    </row>
    <row r="19" ht="21" customHeight="1" spans="1:25">
      <c r="A19" s="41" t="s">
        <v>71</v>
      </c>
      <c r="B19" s="59" t="s">
        <v>74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/>
      <c r="Q19" s="35"/>
      <c r="R19" s="35"/>
      <c r="S19" s="35"/>
      <c r="T19" s="35"/>
      <c r="U19" s="35"/>
      <c r="V19" s="35"/>
      <c r="W19" s="35"/>
      <c r="X19" s="35"/>
      <c r="Y19" s="35"/>
    </row>
    <row r="20" ht="21" customHeight="1" spans="1:25">
      <c r="A20" s="42"/>
      <c r="B20" s="62" t="s">
        <v>75</v>
      </c>
      <c r="C20" s="62"/>
      <c r="D20" s="62"/>
      <c r="E20" s="63"/>
      <c r="F20" s="64"/>
      <c r="G20" s="65" t="s">
        <v>60</v>
      </c>
      <c r="H20" s="65" t="s">
        <v>61</v>
      </c>
      <c r="I20" s="65" t="s">
        <v>62</v>
      </c>
      <c r="J20" s="65" t="s">
        <v>63</v>
      </c>
      <c r="K20" s="65" t="s">
        <v>64</v>
      </c>
      <c r="L20" s="65"/>
      <c r="M20" s="65" t="s">
        <v>65</v>
      </c>
      <c r="N20" s="65"/>
      <c r="O20" s="65" t="s">
        <v>66</v>
      </c>
      <c r="P20" s="65"/>
      <c r="Q20" s="35"/>
      <c r="R20" s="35"/>
      <c r="S20" s="35"/>
      <c r="T20" s="35"/>
      <c r="U20" s="35"/>
      <c r="V20" s="35"/>
      <c r="W20" s="35"/>
      <c r="X20" s="35"/>
      <c r="Y20" s="35"/>
    </row>
    <row r="21" ht="21" customHeight="1" spans="1:25">
      <c r="A21" s="42"/>
      <c r="B21" s="36"/>
      <c r="C21" s="36"/>
      <c r="D21" s="36"/>
      <c r="E21" s="36" t="s">
        <v>76</v>
      </c>
      <c r="F21" s="36"/>
      <c r="G21" s="32"/>
      <c r="H21" s="32"/>
      <c r="I21" s="32"/>
      <c r="J21" s="32"/>
      <c r="K21" s="32"/>
      <c r="L21" s="32"/>
      <c r="M21" s="32"/>
      <c r="N21" s="32"/>
      <c r="O21" s="40">
        <f>SUM(G21:N21)</f>
        <v>0</v>
      </c>
      <c r="P21" s="40"/>
      <c r="Q21" s="35"/>
      <c r="R21" s="35"/>
      <c r="S21" s="35"/>
      <c r="T21" s="35"/>
      <c r="U21" s="35"/>
      <c r="V21" s="35"/>
      <c r="W21" s="35"/>
      <c r="X21" s="35"/>
      <c r="Y21" s="35"/>
    </row>
    <row r="22" ht="21" customHeight="1" spans="1:25">
      <c r="A22" s="42"/>
      <c r="B22" s="36"/>
      <c r="C22" s="36"/>
      <c r="D22" s="36"/>
      <c r="E22" s="36" t="s">
        <v>77</v>
      </c>
      <c r="F22" s="36"/>
      <c r="G22" s="32"/>
      <c r="H22" s="32"/>
      <c r="I22" s="32"/>
      <c r="J22" s="32"/>
      <c r="K22" s="32"/>
      <c r="L22" s="32"/>
      <c r="M22" s="32"/>
      <c r="N22" s="32"/>
      <c r="O22" s="40">
        <f>G22+I22+K22+M22</f>
        <v>0</v>
      </c>
      <c r="P22" s="40"/>
      <c r="Q22" s="35"/>
      <c r="R22" s="35"/>
      <c r="S22" s="35"/>
      <c r="T22" s="35"/>
      <c r="U22" s="35"/>
      <c r="V22" s="35"/>
      <c r="W22" s="35"/>
      <c r="X22" s="35"/>
      <c r="Y22" s="35"/>
    </row>
    <row r="23" ht="21" customHeight="1" spans="1:25">
      <c r="A23" s="42"/>
      <c r="B23" s="36"/>
      <c r="C23" s="36"/>
      <c r="D23" s="36"/>
      <c r="E23" s="48" t="s">
        <v>78</v>
      </c>
      <c r="F23" s="50"/>
      <c r="G23" s="66"/>
      <c r="H23" s="67"/>
      <c r="I23" s="68"/>
      <c r="J23" s="69"/>
      <c r="K23" s="68"/>
      <c r="L23" s="69"/>
      <c r="M23" s="68"/>
      <c r="N23" s="69"/>
      <c r="O23" s="70">
        <f>SUM(G23:N25)</f>
        <v>0</v>
      </c>
      <c r="P23" s="71"/>
      <c r="Q23" s="35"/>
      <c r="R23" s="35"/>
      <c r="S23" s="35"/>
      <c r="T23" s="35"/>
      <c r="U23" s="35"/>
      <c r="V23" s="35"/>
      <c r="W23" s="35"/>
      <c r="X23" s="35"/>
      <c r="Y23" s="35"/>
    </row>
    <row r="24" ht="21" customHeight="1" spans="1:25">
      <c r="A24" s="42"/>
      <c r="B24" s="36"/>
      <c r="C24" s="36"/>
      <c r="D24" s="36"/>
      <c r="E24" s="52"/>
      <c r="F24" s="54"/>
      <c r="G24" s="72"/>
      <c r="H24" s="73"/>
      <c r="I24" s="74"/>
      <c r="J24" s="75"/>
      <c r="K24" s="74"/>
      <c r="L24" s="75"/>
      <c r="M24" s="74"/>
      <c r="N24" s="75"/>
      <c r="O24" s="76"/>
      <c r="P24" s="77"/>
      <c r="Q24" s="35"/>
      <c r="R24" s="35"/>
      <c r="S24" s="35"/>
      <c r="T24" s="35"/>
      <c r="U24" s="35"/>
      <c r="V24" s="35"/>
      <c r="W24" s="35"/>
      <c r="X24" s="35"/>
      <c r="Y24" s="35"/>
    </row>
    <row r="25" ht="21" customHeight="1" spans="1:25">
      <c r="A25" s="42"/>
      <c r="B25" s="36"/>
      <c r="C25" s="36"/>
      <c r="D25" s="36"/>
      <c r="E25" s="56"/>
      <c r="F25" s="58"/>
      <c r="G25" s="78"/>
      <c r="H25" s="79"/>
      <c r="I25" s="80"/>
      <c r="J25" s="81"/>
      <c r="K25" s="80"/>
      <c r="L25" s="81"/>
      <c r="M25" s="80"/>
      <c r="N25" s="81"/>
      <c r="O25" s="82"/>
      <c r="P25" s="83"/>
    </row>
    <row r="26" ht="18.75" customHeight="1" spans="1:25">
      <c r="A26" s="42"/>
      <c r="B26" s="36"/>
      <c r="C26" s="36"/>
      <c r="D26" s="36"/>
      <c r="E26" s="84" t="s">
        <v>79</v>
      </c>
      <c r="F26" s="84"/>
      <c r="G26" s="32"/>
      <c r="H26" s="32"/>
      <c r="I26" s="32"/>
      <c r="J26" s="32"/>
      <c r="K26" s="32"/>
      <c r="L26" s="32"/>
      <c r="M26" s="32"/>
      <c r="N26" s="32"/>
      <c r="O26" s="40">
        <f t="shared" ref="O26:O28" si="4">SUM(G26:N26)</f>
        <v>0</v>
      </c>
      <c r="P26" s="40"/>
    </row>
    <row r="27" ht="18.75" customHeight="1" spans="1:25">
      <c r="A27" s="42"/>
      <c r="B27" s="36"/>
      <c r="C27" s="36"/>
      <c r="D27" s="36"/>
      <c r="E27" s="85" t="s">
        <v>80</v>
      </c>
      <c r="F27" s="86" t="s">
        <v>11</v>
      </c>
      <c r="G27" s="32"/>
      <c r="H27" s="32"/>
      <c r="I27" s="32"/>
      <c r="J27" s="32"/>
      <c r="K27" s="32"/>
      <c r="L27" s="32"/>
      <c r="M27" s="32"/>
      <c r="N27" s="32"/>
      <c r="O27" s="40">
        <f t="shared" si="4"/>
        <v>0</v>
      </c>
      <c r="P27" s="40"/>
    </row>
    <row r="28" ht="18.75" spans="1:25">
      <c r="A28" s="42"/>
      <c r="B28" s="36"/>
      <c r="C28" s="36"/>
      <c r="D28" s="36"/>
      <c r="E28" s="87"/>
      <c r="F28" s="86" t="s">
        <v>13</v>
      </c>
      <c r="G28" s="32"/>
      <c r="H28" s="32"/>
      <c r="I28" s="32"/>
      <c r="J28" s="32"/>
      <c r="K28" s="32"/>
      <c r="L28" s="32"/>
      <c r="M28" s="32"/>
      <c r="N28" s="32"/>
      <c r="O28" s="40">
        <f t="shared" si="4"/>
        <v>0</v>
      </c>
      <c r="P28" s="40"/>
    </row>
    <row r="29" ht="17.45" customHeight="1" spans="1:25">
      <c r="A29" s="42"/>
      <c r="B29" s="36" t="s">
        <v>81</v>
      </c>
      <c r="C29" s="36"/>
      <c r="D29" s="36"/>
      <c r="E29" s="88" t="s">
        <v>82</v>
      </c>
      <c r="F29" s="89"/>
      <c r="G29" s="32"/>
      <c r="H29" s="32"/>
      <c r="I29" s="32"/>
      <c r="J29" s="32"/>
      <c r="K29" s="32"/>
      <c r="L29" s="32"/>
      <c r="M29" s="32"/>
      <c r="N29" s="32"/>
      <c r="O29" s="40">
        <f>SUM(G29:N30)</f>
        <v>0</v>
      </c>
      <c r="P29" s="40"/>
    </row>
    <row r="30" ht="17.45" customHeight="1" spans="1:25">
      <c r="A30" s="42"/>
      <c r="B30" s="36"/>
      <c r="C30" s="36"/>
      <c r="D30" s="36"/>
      <c r="E30" s="89"/>
      <c r="F30" s="89"/>
      <c r="G30" s="32"/>
      <c r="H30" s="32"/>
      <c r="I30" s="32"/>
      <c r="J30" s="32"/>
      <c r="K30" s="32"/>
      <c r="L30" s="32"/>
      <c r="M30" s="32"/>
      <c r="N30" s="32"/>
      <c r="O30" s="40"/>
      <c r="P30" s="40"/>
    </row>
    <row r="31" ht="17.45" customHeight="1" spans="1:25">
      <c r="A31" s="42"/>
      <c r="B31" s="89" t="s">
        <v>83</v>
      </c>
      <c r="C31" s="89"/>
      <c r="D31" s="89"/>
      <c r="E31" s="89" t="s">
        <v>84</v>
      </c>
      <c r="F31" s="36"/>
      <c r="G31" s="32"/>
      <c r="H31" s="32"/>
      <c r="I31" s="32"/>
      <c r="J31" s="32"/>
      <c r="K31" s="32"/>
      <c r="L31" s="32"/>
      <c r="M31" s="32"/>
      <c r="N31" s="32"/>
      <c r="O31" s="40">
        <f>SUM(G31:N32)</f>
        <v>0</v>
      </c>
      <c r="P31" s="40"/>
    </row>
    <row r="32" ht="17.45" customHeight="1" spans="1:25">
      <c r="A32" s="42"/>
      <c r="B32" s="89"/>
      <c r="C32" s="89"/>
      <c r="D32" s="89"/>
      <c r="E32" s="36"/>
      <c r="F32" s="36"/>
      <c r="G32" s="32"/>
      <c r="H32" s="32"/>
      <c r="I32" s="32"/>
      <c r="J32" s="32"/>
      <c r="K32" s="32"/>
      <c r="L32" s="32"/>
      <c r="M32" s="32"/>
      <c r="N32" s="32"/>
      <c r="O32" s="40"/>
      <c r="P32" s="40"/>
    </row>
    <row r="33" ht="18.75" spans="1:16">
      <c r="A33" s="42"/>
      <c r="B33" s="90" t="s">
        <v>85</v>
      </c>
      <c r="C33" s="90"/>
      <c r="D33" s="90"/>
      <c r="E33" s="90" t="s">
        <v>86</v>
      </c>
      <c r="F33" s="90"/>
      <c r="G33" s="32"/>
      <c r="H33" s="32"/>
      <c r="I33" s="32"/>
      <c r="J33" s="32"/>
      <c r="K33" s="32"/>
      <c r="L33" s="32"/>
      <c r="M33" s="32"/>
      <c r="N33" s="32"/>
      <c r="O33" s="40">
        <f t="shared" ref="O33:O40" si="5">SUM(G33:N33)</f>
        <v>0</v>
      </c>
      <c r="P33" s="40"/>
    </row>
    <row r="34" ht="18.75" spans="1:16">
      <c r="A34" s="42"/>
      <c r="B34" s="90" t="s">
        <v>87</v>
      </c>
      <c r="C34" s="90"/>
      <c r="D34" s="90"/>
      <c r="E34" s="91" t="s">
        <v>88</v>
      </c>
      <c r="F34" s="90"/>
      <c r="G34" s="32"/>
      <c r="H34" s="32"/>
      <c r="I34" s="32"/>
      <c r="J34" s="32"/>
      <c r="K34" s="32"/>
      <c r="L34" s="32"/>
      <c r="M34" s="32"/>
      <c r="N34" s="32"/>
      <c r="O34" s="40">
        <f t="shared" si="5"/>
        <v>0</v>
      </c>
      <c r="P34" s="40"/>
    </row>
    <row r="35" ht="18.75" spans="1:16">
      <c r="A35" s="42"/>
      <c r="B35" s="90" t="s">
        <v>89</v>
      </c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</row>
    <row r="36" ht="17.45" customHeight="1" spans="1:16">
      <c r="A36" s="42"/>
      <c r="B36" s="92" t="s">
        <v>90</v>
      </c>
      <c r="C36" s="93"/>
      <c r="D36" s="93"/>
      <c r="E36" s="89" t="s">
        <v>91</v>
      </c>
      <c r="F36" s="89"/>
      <c r="G36" s="32"/>
      <c r="H36" s="32"/>
      <c r="I36" s="32"/>
      <c r="J36" s="32"/>
      <c r="K36" s="32"/>
      <c r="L36" s="32"/>
      <c r="M36" s="32"/>
      <c r="N36" s="32"/>
      <c r="O36" s="40">
        <f>SUM(G36:N37)</f>
        <v>0</v>
      </c>
      <c r="P36" s="40"/>
    </row>
    <row r="37" ht="17.45" customHeight="1" spans="1:16">
      <c r="A37" s="42"/>
      <c r="B37" s="93"/>
      <c r="C37" s="93"/>
      <c r="D37" s="93"/>
      <c r="E37" s="89"/>
      <c r="F37" s="89"/>
      <c r="G37" s="32"/>
      <c r="H37" s="32"/>
      <c r="I37" s="32"/>
      <c r="J37" s="32"/>
      <c r="K37" s="32"/>
      <c r="L37" s="32"/>
      <c r="M37" s="32"/>
      <c r="N37" s="32"/>
      <c r="O37" s="40"/>
      <c r="P37" s="40"/>
    </row>
    <row r="38" ht="18.75" customHeight="1" spans="1:16">
      <c r="A38" s="42"/>
      <c r="B38" s="36" t="s">
        <v>92</v>
      </c>
      <c r="C38" s="90"/>
      <c r="D38" s="90"/>
      <c r="E38" s="94" t="s">
        <v>93</v>
      </c>
      <c r="F38" s="95"/>
      <c r="G38" s="96"/>
      <c r="H38" s="97"/>
      <c r="I38" s="96"/>
      <c r="J38" s="97"/>
      <c r="K38" s="96"/>
      <c r="L38" s="97"/>
      <c r="M38" s="96"/>
      <c r="N38" s="97"/>
      <c r="O38" s="40">
        <f t="shared" si="5"/>
        <v>0</v>
      </c>
      <c r="P38" s="40"/>
    </row>
    <row r="39" ht="18.75" customHeight="1" spans="1:16">
      <c r="A39" s="42"/>
      <c r="B39" s="90"/>
      <c r="C39" s="90"/>
      <c r="D39" s="90"/>
      <c r="E39" s="94" t="s">
        <v>94</v>
      </c>
      <c r="F39" s="95"/>
      <c r="G39" s="96"/>
      <c r="H39" s="97"/>
      <c r="I39" s="96"/>
      <c r="J39" s="97"/>
      <c r="K39" s="96"/>
      <c r="L39" s="97"/>
      <c r="M39" s="96"/>
      <c r="N39" s="97"/>
      <c r="O39" s="40">
        <f t="shared" si="5"/>
        <v>0</v>
      </c>
      <c r="P39" s="40"/>
    </row>
    <row r="40" ht="18.75" spans="1:16">
      <c r="A40" s="45"/>
      <c r="B40" s="93" t="s">
        <v>95</v>
      </c>
      <c r="C40" s="93"/>
      <c r="D40" s="93"/>
      <c r="E40" s="98" t="s">
        <v>96</v>
      </c>
      <c r="F40" s="98"/>
      <c r="G40" s="32"/>
      <c r="H40" s="32"/>
      <c r="I40" s="32"/>
      <c r="J40" s="32"/>
      <c r="K40" s="32"/>
      <c r="L40" s="32"/>
      <c r="M40" s="32"/>
      <c r="N40" s="32"/>
      <c r="O40" s="40">
        <f t="shared" si="5"/>
        <v>0</v>
      </c>
      <c r="P40" s="40"/>
    </row>
    <row r="41" ht="18" customHeight="1" spans="1:16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65" t="s">
        <v>66</v>
      </c>
      <c r="P41" s="65" t="s">
        <v>67</v>
      </c>
    </row>
    <row r="42" ht="18.75" customHeight="1" spans="1:16">
      <c r="A42" s="100" t="s">
        <v>97</v>
      </c>
      <c r="B42" s="36" t="s">
        <v>98</v>
      </c>
      <c r="C42" s="36"/>
      <c r="D42" s="36"/>
      <c r="E42" s="101" t="s">
        <v>69</v>
      </c>
      <c r="F42" s="90"/>
      <c r="G42" s="102" t="s">
        <v>99</v>
      </c>
      <c r="H42" s="102"/>
      <c r="I42" s="102"/>
      <c r="J42" s="102"/>
      <c r="K42" s="102"/>
      <c r="L42" s="102"/>
      <c r="M42" s="102"/>
      <c r="N42" s="102"/>
      <c r="O42" s="103"/>
      <c r="P42" s="43">
        <f>'5年财报'!K8+O44-O43</f>
        <v>0</v>
      </c>
    </row>
    <row r="43" ht="18.75" customHeight="1" spans="1:16">
      <c r="A43" s="104"/>
      <c r="B43" s="36"/>
      <c r="C43" s="36"/>
      <c r="D43" s="36"/>
      <c r="E43" s="101" t="s">
        <v>100</v>
      </c>
      <c r="F43" s="90"/>
      <c r="G43" s="102" t="s">
        <v>101</v>
      </c>
      <c r="H43" s="102"/>
      <c r="I43" s="102"/>
      <c r="J43" s="102"/>
      <c r="K43" s="102"/>
      <c r="L43" s="102"/>
      <c r="M43" s="102"/>
      <c r="N43" s="102"/>
      <c r="O43" s="103"/>
      <c r="P43" s="44"/>
    </row>
    <row r="44" ht="18.75" customHeight="1" spans="1:16">
      <c r="A44" s="104"/>
      <c r="B44" s="36"/>
      <c r="C44" s="36"/>
      <c r="D44" s="36"/>
      <c r="E44" s="101" t="s">
        <v>102</v>
      </c>
      <c r="F44" s="90"/>
      <c r="G44" s="102" t="s">
        <v>101</v>
      </c>
      <c r="H44" s="102"/>
      <c r="I44" s="102"/>
      <c r="J44" s="102"/>
      <c r="K44" s="102"/>
      <c r="L44" s="102"/>
      <c r="M44" s="102"/>
      <c r="N44" s="102"/>
      <c r="O44" s="103"/>
      <c r="P44" s="46"/>
    </row>
    <row r="45" ht="18.75" customHeight="1" spans="1:16">
      <c r="A45" s="104"/>
      <c r="B45" s="105" t="s">
        <v>141</v>
      </c>
      <c r="C45" s="105"/>
      <c r="D45" s="105"/>
      <c r="E45" s="105"/>
      <c r="F45" s="106"/>
      <c r="G45" s="102" t="s">
        <v>101</v>
      </c>
      <c r="H45" s="102"/>
      <c r="I45" s="102"/>
      <c r="J45" s="102"/>
      <c r="K45" s="102"/>
      <c r="L45" s="102"/>
      <c r="M45" s="102"/>
      <c r="N45" s="102"/>
      <c r="O45" s="32"/>
      <c r="P45" s="32"/>
    </row>
    <row r="46" ht="18.75" customHeight="1" spans="1:16">
      <c r="A46" s="104"/>
      <c r="B46" s="107" t="s">
        <v>142</v>
      </c>
      <c r="C46" s="108"/>
      <c r="D46" s="109"/>
      <c r="E46" s="110" t="s">
        <v>105</v>
      </c>
      <c r="F46" s="111"/>
      <c r="G46" s="112" t="s">
        <v>143</v>
      </c>
      <c r="H46" s="113"/>
      <c r="I46" s="113"/>
      <c r="J46" s="113"/>
      <c r="K46" s="113"/>
      <c r="L46" s="113"/>
      <c r="M46" s="113"/>
      <c r="N46" s="114"/>
      <c r="O46" s="32"/>
      <c r="P46" s="32"/>
    </row>
    <row r="47" ht="18.75" spans="1:16">
      <c r="A47" s="104"/>
      <c r="B47" s="106"/>
      <c r="C47" s="115"/>
      <c r="D47" s="116"/>
      <c r="E47" s="110" t="s">
        <v>107</v>
      </c>
      <c r="F47" s="111"/>
      <c r="G47" s="117"/>
      <c r="H47" s="118"/>
      <c r="I47" s="118"/>
      <c r="J47" s="118"/>
      <c r="K47" s="118"/>
      <c r="L47" s="118"/>
      <c r="M47" s="118"/>
      <c r="N47" s="119"/>
      <c r="O47" s="120"/>
      <c r="P47" s="121"/>
    </row>
    <row r="48" ht="18.75" customHeight="1" spans="1:16">
      <c r="A48" s="104"/>
      <c r="B48" s="90" t="s">
        <v>144</v>
      </c>
      <c r="C48" s="90"/>
      <c r="D48" s="90"/>
      <c r="E48" s="90"/>
      <c r="F48" s="122"/>
      <c r="G48" s="123" t="s">
        <v>145</v>
      </c>
      <c r="H48" s="123"/>
      <c r="I48" s="123"/>
      <c r="J48" s="123"/>
      <c r="K48" s="123"/>
      <c r="L48" s="123"/>
      <c r="M48" s="123"/>
      <c r="N48" s="123"/>
      <c r="O48" s="32"/>
      <c r="P48" s="32"/>
    </row>
    <row r="49" ht="18.75" spans="1:16">
      <c r="A49" s="104"/>
      <c r="B49" s="107" t="s">
        <v>110</v>
      </c>
      <c r="C49" s="108"/>
      <c r="D49" s="108"/>
      <c r="E49" s="108"/>
      <c r="F49" s="108"/>
      <c r="G49" s="124"/>
      <c r="H49" s="102"/>
      <c r="I49" s="102"/>
      <c r="J49" s="102"/>
      <c r="K49" s="102"/>
      <c r="L49" s="102"/>
      <c r="M49" s="102"/>
      <c r="N49" s="102"/>
      <c r="O49" s="29">
        <f>'5年财报'!G7+O27-O23</f>
        <v>3</v>
      </c>
      <c r="P49" s="29"/>
    </row>
    <row r="50" ht="18.75" customHeight="1" spans="1:16">
      <c r="A50" s="104"/>
      <c r="B50" s="36" t="s">
        <v>111</v>
      </c>
      <c r="C50" s="36"/>
      <c r="D50" s="36"/>
      <c r="E50" s="36" t="s">
        <v>112</v>
      </c>
      <c r="F50" s="36"/>
      <c r="G50" s="36"/>
      <c r="H50" s="36"/>
      <c r="I50" s="36"/>
      <c r="J50" s="36"/>
      <c r="K50" s="36"/>
      <c r="L50" s="36"/>
      <c r="M50" s="36"/>
      <c r="N50" s="36"/>
      <c r="O50" s="29">
        <f>'5年财报'!G8+O28</f>
        <v>0</v>
      </c>
      <c r="P50" s="29"/>
    </row>
    <row r="51" ht="18.75" customHeight="1" spans="1:16">
      <c r="A51" s="104"/>
      <c r="B51" s="36"/>
      <c r="C51" s="36"/>
      <c r="D51" s="36"/>
      <c r="E51" s="36" t="s">
        <v>113</v>
      </c>
      <c r="F51" s="36"/>
      <c r="G51" s="36"/>
      <c r="H51" s="36"/>
      <c r="I51" s="36"/>
      <c r="J51" s="36"/>
      <c r="K51" s="36"/>
      <c r="L51" s="36"/>
      <c r="M51" s="36"/>
      <c r="N51" s="36"/>
      <c r="O51" s="40" t="str">
        <f>FIXED(O50/3,0,TRUE)</f>
        <v>0</v>
      </c>
      <c r="P51" s="40"/>
    </row>
    <row r="52" ht="18.75" customHeight="1" spans="1:16">
      <c r="A52" s="104"/>
      <c r="B52" s="36"/>
      <c r="C52" s="36"/>
      <c r="D52" s="36"/>
      <c r="E52" s="36" t="s">
        <v>114</v>
      </c>
      <c r="F52" s="36"/>
      <c r="G52" s="36"/>
      <c r="H52" s="36"/>
      <c r="I52" s="36"/>
      <c r="J52" s="36"/>
      <c r="K52" s="36"/>
      <c r="L52" s="36"/>
      <c r="M52" s="36"/>
      <c r="N52" s="36"/>
      <c r="O52" s="32"/>
      <c r="P52" s="32"/>
    </row>
    <row r="53" ht="18.75" customHeight="1" spans="1:16">
      <c r="A53" s="104"/>
      <c r="B53" s="59" t="s">
        <v>115</v>
      </c>
      <c r="C53" s="60"/>
      <c r="D53" s="61"/>
      <c r="E53" s="59" t="s">
        <v>116</v>
      </c>
      <c r="F53" s="60"/>
      <c r="G53" s="60"/>
      <c r="H53" s="60"/>
      <c r="I53" s="60"/>
      <c r="J53" s="60"/>
      <c r="K53" s="60"/>
      <c r="L53" s="60"/>
      <c r="M53" s="60"/>
      <c r="N53" s="61"/>
      <c r="O53" s="125"/>
      <c r="P53" s="126"/>
    </row>
    <row r="54" ht="18" customHeight="1" spans="1:16">
      <c r="A54" s="127" t="s">
        <v>117</v>
      </c>
      <c r="B54" s="128"/>
      <c r="C54" s="128"/>
      <c r="D54" s="128"/>
      <c r="E54" s="128"/>
      <c r="F54" s="129"/>
      <c r="G54" s="65" t="s">
        <v>60</v>
      </c>
      <c r="H54" s="65" t="s">
        <v>61</v>
      </c>
      <c r="I54" s="65" t="s">
        <v>62</v>
      </c>
      <c r="J54" s="65" t="s">
        <v>63</v>
      </c>
      <c r="K54" s="65" t="s">
        <v>64</v>
      </c>
      <c r="L54" s="65"/>
      <c r="M54" s="65" t="s">
        <v>65</v>
      </c>
      <c r="N54" s="65"/>
      <c r="O54" s="65" t="s">
        <v>66</v>
      </c>
      <c r="P54" s="65"/>
    </row>
    <row r="55" ht="18" customHeight="1" spans="1:16">
      <c r="A55" s="127"/>
      <c r="B55" s="90" t="s">
        <v>118</v>
      </c>
      <c r="C55" s="90"/>
      <c r="D55" s="90"/>
      <c r="E55" s="130" t="s">
        <v>119</v>
      </c>
      <c r="F55" s="131"/>
      <c r="G55" s="103"/>
      <c r="H55" s="103"/>
      <c r="I55" s="103"/>
      <c r="J55" s="103"/>
      <c r="K55" s="103"/>
      <c r="L55" s="103"/>
      <c r="M55" s="103"/>
      <c r="N55" s="103"/>
      <c r="O55" s="132">
        <f>SUM((G55:N56))</f>
        <v>0</v>
      </c>
      <c r="P55" s="132"/>
    </row>
    <row r="56" ht="18" customHeight="1" spans="1:16">
      <c r="A56" s="127"/>
      <c r="B56" s="90"/>
      <c r="C56" s="90"/>
      <c r="D56" s="90"/>
      <c r="E56" s="130"/>
      <c r="F56" s="131"/>
      <c r="G56" s="103"/>
      <c r="H56" s="103"/>
      <c r="I56" s="103"/>
      <c r="J56" s="103"/>
      <c r="K56" s="103"/>
      <c r="L56" s="103"/>
      <c r="M56" s="103"/>
      <c r="N56" s="103"/>
      <c r="O56" s="132"/>
      <c r="P56" s="132"/>
    </row>
    <row r="57" ht="18" customHeight="1" spans="1:16">
      <c r="A57" s="127"/>
      <c r="B57" s="90" t="s">
        <v>120</v>
      </c>
      <c r="C57" s="90"/>
      <c r="D57" s="90"/>
      <c r="E57" s="90"/>
      <c r="F57" s="122"/>
      <c r="G57" s="102" t="s">
        <v>101</v>
      </c>
      <c r="H57" s="102"/>
      <c r="I57" s="102"/>
      <c r="J57" s="102"/>
      <c r="K57" s="102"/>
      <c r="L57" s="102"/>
      <c r="M57" s="102"/>
      <c r="N57" s="102"/>
      <c r="O57" s="133"/>
      <c r="P57" s="134"/>
    </row>
    <row r="58" ht="18" customHeight="1" spans="1:16">
      <c r="A58" s="127"/>
      <c r="B58" s="90" t="s">
        <v>121</v>
      </c>
      <c r="C58" s="90"/>
      <c r="D58" s="90"/>
      <c r="E58" s="90"/>
      <c r="F58" s="122"/>
      <c r="G58" s="102" t="s">
        <v>101</v>
      </c>
      <c r="H58" s="102"/>
      <c r="I58" s="102"/>
      <c r="J58" s="102"/>
      <c r="K58" s="102"/>
      <c r="L58" s="102"/>
      <c r="M58" s="102"/>
      <c r="N58" s="102"/>
      <c r="O58" s="103"/>
      <c r="P58" s="103"/>
    </row>
    <row r="59" ht="18.75" customHeight="1" spans="1:16">
      <c r="B59" s="30" t="s">
        <v>21</v>
      </c>
      <c r="C59" s="135">
        <f>'5年财报'!$G$13+$F$59-$I$59</f>
        <v>35</v>
      </c>
      <c r="D59" s="84" t="s">
        <v>122</v>
      </c>
      <c r="E59" s="84"/>
      <c r="F59" s="33">
        <f>$O$12+$O$23+$O$36+$O$44+$O$47+$O$58</f>
        <v>0</v>
      </c>
      <c r="G59" s="84" t="s">
        <v>123</v>
      </c>
      <c r="H59" s="136"/>
      <c r="I59" s="137">
        <f>$M$1+$P$5+$O$10+$O$11+$O$18+$O$21+$O$22+$O$26+$O$29+$O$31+$O$33+$O$34+$O$40+$O$45+$O$46+$O$42+$O$43+$O$48+$O$53+$O$55+$O$57</f>
        <v>0</v>
      </c>
      <c r="J59" s="138" t="s">
        <v>124</v>
      </c>
      <c r="K59" s="139" t="e">
        <f>$O$5/$P$5</f>
        <v>#DIV/0!</v>
      </c>
      <c r="L59" s="140" t="s">
        <v>125</v>
      </c>
      <c r="M59" s="141" t="e">
        <f>$O$33/($O$38+$O$58)</f>
        <v>#DIV/0!</v>
      </c>
      <c r="N59" s="142" t="s">
        <v>126</v>
      </c>
      <c r="O59" s="143">
        <f>($O$38-$O$39--$O$11-$P$5-$M$1-$O$21-$O$22--$O$29-$O$33-$O$34-$O$42-$O$45-$O$48-$O$53-$O$57+$O$58)/($O$31*7+5)*100</f>
        <v>0</v>
      </c>
    </row>
    <row r="60" ht="18.75" spans="1:16">
      <c r="A60" s="144" t="s">
        <v>27</v>
      </c>
      <c r="B60" s="145"/>
      <c r="C60" s="33">
        <f>$O$11+$O$42+$O$55</f>
        <v>0</v>
      </c>
      <c r="D60" s="138" t="s">
        <v>127</v>
      </c>
      <c r="E60" s="33">
        <f>$O$46-$O$47</f>
        <v>0</v>
      </c>
      <c r="F60" s="146" t="s">
        <v>128</v>
      </c>
      <c r="G60" s="40">
        <f>$O$38-$O$36</f>
        <v>0</v>
      </c>
      <c r="H60" s="147" t="s">
        <v>146</v>
      </c>
      <c r="I60" s="148">
        <f>'6年财报'!$C$22/'6年财报'!$K$19</f>
        <v>0</v>
      </c>
      <c r="J60" s="149" t="s">
        <v>130</v>
      </c>
      <c r="K60" s="148">
        <f>'6年财报'!$C$22/'6年财报'!$G$22</f>
        <v>0</v>
      </c>
      <c r="L60" s="150"/>
      <c r="M60" s="151"/>
      <c r="N60" s="150"/>
      <c r="O60" s="152"/>
      <c r="P60" s="153"/>
    </row>
    <row r="61" ht="18.75" spans="1:16">
      <c r="A61" s="144" t="s">
        <v>30</v>
      </c>
      <c r="B61" s="145"/>
      <c r="C61" s="33">
        <f>$O$58-$O$57</f>
        <v>0</v>
      </c>
      <c r="D61" s="154" t="s">
        <v>131</v>
      </c>
      <c r="E61" s="33">
        <f>$O$27-$O$23</f>
        <v>0</v>
      </c>
      <c r="F61" s="154" t="s">
        <v>132</v>
      </c>
      <c r="G61" s="40">
        <f>$O$28-$O$51</f>
        <v>0</v>
      </c>
      <c r="H61" s="155" t="s">
        <v>133</v>
      </c>
      <c r="I61" s="148" t="e">
        <f>'6年财报'!$C$22/'6年财报'!$C$4</f>
        <v>#DIV/0!</v>
      </c>
      <c r="J61" s="147" t="s">
        <v>134</v>
      </c>
      <c r="K61" s="148" t="e">
        <f>1-'6年财报'!$C$5/'6年财报'!$C$4</f>
        <v>#DIV/0!</v>
      </c>
      <c r="L61" s="151"/>
      <c r="M61" s="151"/>
      <c r="N61" s="151"/>
      <c r="O61" s="151"/>
      <c r="P61" s="153"/>
    </row>
    <row r="62" ht="14.25" spans="1:16">
      <c r="A62" s="153"/>
      <c r="B62" s="153"/>
      <c r="C62" s="153"/>
      <c r="D62" s="156"/>
      <c r="E62" s="153"/>
      <c r="F62" s="153"/>
      <c r="G62" s="153"/>
      <c r="H62" s="157"/>
      <c r="I62" s="158"/>
      <c r="J62" s="150"/>
      <c r="K62" s="158"/>
      <c r="L62" s="153"/>
      <c r="M62" s="153"/>
      <c r="N62" s="153"/>
      <c r="O62" s="153"/>
      <c r="P62" s="153"/>
    </row>
    <row r="63" ht="14.25" spans="1:16">
      <c r="A63" s="153"/>
      <c r="B63" s="153"/>
      <c r="C63" s="153"/>
      <c r="D63" s="156"/>
      <c r="E63" s="153"/>
      <c r="F63" s="153"/>
      <c r="G63" s="153"/>
      <c r="H63" s="157"/>
      <c r="I63" s="158"/>
      <c r="J63" s="150"/>
      <c r="K63" s="158"/>
      <c r="L63" s="153"/>
      <c r="M63" s="153"/>
      <c r="N63" s="153"/>
      <c r="O63" s="153"/>
      <c r="P63" s="153"/>
    </row>
    <row r="64" ht="14.25" spans="1:16">
      <c r="A64" s="153"/>
      <c r="B64" s="153"/>
      <c r="C64" s="153"/>
      <c r="D64" s="156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</row>
    <row r="65" ht="14.25" spans="1:16">
      <c r="A65" s="153"/>
      <c r="B65" s="153"/>
      <c r="C65" s="153"/>
      <c r="D65" s="156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</row>
    <row r="66" ht="14.25" spans="1:16">
      <c r="A66" s="153"/>
      <c r="B66" s="153"/>
      <c r="C66" s="153"/>
      <c r="D66" s="156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</row>
    <row r="67" ht="14.25" spans="1:16">
      <c r="A67" s="153"/>
      <c r="B67" s="153"/>
      <c r="C67" s="153"/>
      <c r="D67" s="156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</row>
    <row r="68" ht="14.25" spans="1:16">
      <c r="A68" s="153"/>
      <c r="B68" s="153"/>
      <c r="C68" s="153"/>
      <c r="D68" s="156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</row>
    <row r="69" ht="14.25" spans="1:16">
      <c r="A69" s="153"/>
      <c r="B69" s="153"/>
      <c r="C69" s="153"/>
      <c r="D69" s="156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</row>
  </sheetData>
  <mergeCells count="265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D59:E59"/>
    <mergeCell ref="G59:H59"/>
    <mergeCell ref="A60:B60"/>
    <mergeCell ref="A61:B61"/>
    <mergeCell ref="A1:A8"/>
    <mergeCell ref="A9:A12"/>
    <mergeCell ref="A13:A18"/>
    <mergeCell ref="A19:A40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"/>
  <sheetViews>
    <sheetView zoomScale="130" zoomScaleNormal="130" topLeftCell="A10" workbookViewId="0">
      <selection activeCell="G8" sqref="G8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'6年经营'!O38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'6年经营'!O39</f>
        <v>0</v>
      </c>
      <c r="D5" s="5"/>
      <c r="E5" s="5"/>
      <c r="F5" s="9" t="s">
        <v>8</v>
      </c>
      <c r="G5" s="10">
        <f>'6年经营'!O52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'5年财报'!G6+'6年经营'!E60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'5年财报'!G7+'6年经营'!E61</f>
        <v>3</v>
      </c>
      <c r="H7" s="5"/>
      <c r="I7" s="5"/>
      <c r="J7" s="9" t="s">
        <v>12</v>
      </c>
      <c r="K7" s="10">
        <f>'6年经营'!P10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'5年财报'!G8+'6年经营'!G61</f>
        <v>0</v>
      </c>
      <c r="H8" s="5"/>
      <c r="I8" s="5"/>
      <c r="J8" s="9" t="s">
        <v>14</v>
      </c>
      <c r="K8" s="10">
        <f>'6年经营'!P42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135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'6年经营'!O2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'6年经营'!O51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'6年经营'!C59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'5年财报'!G14+'6年经营'!O38-'6年经营'!O36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'5年财报'!K15</f>
        <v>50</v>
      </c>
      <c r="L15" s="5"/>
    </row>
    <row r="16" s="1" customFormat="1" ht="20.1" customHeight="1" spans="2:12">
      <c r="B16" s="9" t="s">
        <v>27</v>
      </c>
      <c r="C16" s="10">
        <f>'6年经营'!C60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'5年财报'!K16+'5年财报'!K17</f>
        <v>19</v>
      </c>
    </row>
    <row r="17" s="1" customFormat="1" ht="20.1" customHeight="1" spans="2:11">
      <c r="B17" s="9" t="s">
        <v>30</v>
      </c>
      <c r="C17" s="10">
        <f>'6年经营'!C61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4" ht="21.95" customHeight="1" spans="2:11">
      <c r="B24" s="19" t="s">
        <v>136</v>
      </c>
      <c r="C24" s="20"/>
      <c r="D24" s="21" t="s">
        <v>137</v>
      </c>
    </row>
    <row r="25" ht="21.95" customHeight="1" spans="2:11">
      <c r="B25" s="19" t="s">
        <v>138</v>
      </c>
      <c r="C25" s="22"/>
      <c r="D25" s="21"/>
    </row>
    <row r="26" ht="20.1" customHeight="1" spans="2:11">
      <c r="B26" s="19" t="s">
        <v>139</v>
      </c>
      <c r="C26" s="23"/>
      <c r="D26" s="21"/>
    </row>
  </sheetData>
  <mergeCells count="10">
    <mergeCell ref="B2:C2"/>
    <mergeCell ref="F2:K2"/>
    <mergeCell ref="F3:G3"/>
    <mergeCell ref="J3:K3"/>
    <mergeCell ref="F4:G4"/>
    <mergeCell ref="J4:K4"/>
    <mergeCell ref="F11:G11"/>
    <mergeCell ref="J13:K13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topLeftCell="A39" workbookViewId="0">
      <selection activeCell="K17" sqref="K17:L17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24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25" t="s">
        <v>40</v>
      </c>
      <c r="B1" s="26" t="s">
        <v>41</v>
      </c>
      <c r="C1" s="27"/>
      <c r="D1" s="28"/>
      <c r="E1" s="26" t="s">
        <v>42</v>
      </c>
      <c r="F1" s="27"/>
      <c r="G1" s="27"/>
      <c r="H1" s="27"/>
      <c r="I1" s="27"/>
      <c r="J1" s="27"/>
      <c r="K1" s="27"/>
      <c r="L1" s="28"/>
      <c r="M1" s="29" t="str">
        <f>'6年财报'!C21</f>
        <v>0</v>
      </c>
      <c r="N1" s="29"/>
      <c r="O1" s="30" t="s">
        <v>16</v>
      </c>
      <c r="P1" s="30"/>
    </row>
    <row r="2" ht="18" customHeight="1" spans="1:25">
      <c r="A2" s="25"/>
      <c r="B2" s="26" t="s">
        <v>43</v>
      </c>
      <c r="C2" s="27"/>
      <c r="D2" s="28"/>
      <c r="E2" s="26" t="s">
        <v>44</v>
      </c>
      <c r="F2" s="27"/>
      <c r="G2" s="27"/>
      <c r="H2" s="27"/>
      <c r="I2" s="27"/>
      <c r="J2" s="27"/>
      <c r="K2" s="31" t="s">
        <v>45</v>
      </c>
      <c r="L2" s="31"/>
      <c r="M2" s="32"/>
      <c r="N2" s="32"/>
      <c r="O2" s="33">
        <f>P5+O21+O22+O29+O33+O34+O40+O45+O48+O53</f>
        <v>0</v>
      </c>
      <c r="P2" s="34"/>
      <c r="Q2" s="35"/>
      <c r="R2" s="35"/>
      <c r="S2" s="35"/>
      <c r="T2" s="35"/>
      <c r="U2" s="35"/>
      <c r="V2" s="35"/>
      <c r="W2" s="35"/>
      <c r="X2" s="35"/>
      <c r="Y2" s="35"/>
    </row>
    <row r="3" ht="18" customHeight="1" spans="1:25">
      <c r="A3" s="25"/>
      <c r="B3" s="36" t="s">
        <v>46</v>
      </c>
      <c r="C3" s="36"/>
      <c r="D3" s="31" t="s">
        <v>47</v>
      </c>
      <c r="E3" s="31" t="s">
        <v>48</v>
      </c>
      <c r="F3" s="31"/>
      <c r="G3" s="31" t="s">
        <v>49</v>
      </c>
      <c r="H3" s="31"/>
      <c r="I3" s="37" t="s">
        <v>50</v>
      </c>
      <c r="J3" s="38"/>
      <c r="K3" s="31" t="s">
        <v>51</v>
      </c>
      <c r="L3" s="31"/>
      <c r="M3" s="31" t="s">
        <v>52</v>
      </c>
      <c r="N3" s="31"/>
      <c r="O3" s="39" t="s">
        <v>53</v>
      </c>
      <c r="P3" s="39" t="s">
        <v>54</v>
      </c>
      <c r="Q3" s="35"/>
      <c r="R3" s="35"/>
      <c r="S3" s="35"/>
      <c r="T3" s="35"/>
      <c r="U3" s="35"/>
      <c r="V3" s="35"/>
      <c r="W3" s="35"/>
      <c r="X3" s="35"/>
      <c r="Y3" s="35"/>
    </row>
    <row r="4" ht="18" customHeight="1" spans="1:25">
      <c r="A4" s="25"/>
      <c r="B4" s="36"/>
      <c r="C4" s="36"/>
      <c r="D4" s="31"/>
      <c r="E4" s="31" t="s">
        <v>55</v>
      </c>
      <c r="F4" s="31"/>
      <c r="G4" s="31" t="s">
        <v>55</v>
      </c>
      <c r="H4" s="31"/>
      <c r="I4" s="31" t="s">
        <v>55</v>
      </c>
      <c r="J4" s="31"/>
      <c r="K4" s="31" t="s">
        <v>55</v>
      </c>
      <c r="L4" s="31"/>
      <c r="M4" s="31"/>
      <c r="N4" s="31"/>
      <c r="O4" s="39"/>
      <c r="P4" s="39"/>
      <c r="Q4" s="35"/>
      <c r="R4" s="35"/>
      <c r="S4" s="35"/>
      <c r="T4" s="35"/>
      <c r="U4" s="35"/>
      <c r="V4" s="35"/>
      <c r="W4" s="35"/>
      <c r="X4" s="35"/>
      <c r="Y4" s="35"/>
    </row>
    <row r="5" ht="18" customHeight="1" spans="1:25">
      <c r="A5" s="25"/>
      <c r="B5" s="36"/>
      <c r="C5" s="36"/>
      <c r="D5" s="31" t="s">
        <v>56</v>
      </c>
      <c r="E5" s="32"/>
      <c r="F5" s="32"/>
      <c r="G5" s="32"/>
      <c r="H5" s="32"/>
      <c r="I5" s="32"/>
      <c r="J5" s="32"/>
      <c r="K5" s="32"/>
      <c r="L5" s="32"/>
      <c r="M5" s="40">
        <f t="shared" ref="M5:M8" si="0">SUM(E5:L5)</f>
        <v>0</v>
      </c>
      <c r="N5" s="40"/>
      <c r="O5" s="40">
        <f>SUM(M5:N8)</f>
        <v>0</v>
      </c>
      <c r="P5" s="32"/>
      <c r="Q5" s="35"/>
      <c r="R5" s="35"/>
      <c r="S5" s="35"/>
      <c r="T5" s="35"/>
      <c r="U5" s="35"/>
      <c r="V5" s="35"/>
      <c r="W5" s="35"/>
      <c r="X5" s="35"/>
      <c r="Y5" s="35"/>
    </row>
    <row r="6" ht="18" customHeight="1" spans="1:25">
      <c r="A6" s="25"/>
      <c r="B6" s="36"/>
      <c r="C6" s="36"/>
      <c r="D6" s="31" t="s">
        <v>47</v>
      </c>
      <c r="E6" s="32"/>
      <c r="F6" s="32"/>
      <c r="G6" s="32"/>
      <c r="H6" s="32"/>
      <c r="I6" s="32"/>
      <c r="J6" s="32"/>
      <c r="K6" s="32"/>
      <c r="L6" s="32"/>
      <c r="M6" s="40">
        <f t="shared" si="0"/>
        <v>0</v>
      </c>
      <c r="N6" s="40"/>
      <c r="O6" s="40"/>
      <c r="P6" s="32"/>
      <c r="Q6" s="35"/>
      <c r="R6" s="35"/>
      <c r="S6" s="35"/>
      <c r="T6" s="35"/>
      <c r="U6" s="35"/>
      <c r="V6" s="35"/>
      <c r="W6" s="35"/>
      <c r="X6" s="35"/>
      <c r="Y6" s="35"/>
    </row>
    <row r="7" ht="18" customHeight="1" spans="1:25">
      <c r="A7" s="25"/>
      <c r="B7" s="36"/>
      <c r="C7" s="36"/>
      <c r="D7" s="31" t="s">
        <v>57</v>
      </c>
      <c r="E7" s="32"/>
      <c r="F7" s="32"/>
      <c r="G7" s="32"/>
      <c r="H7" s="32"/>
      <c r="I7" s="32"/>
      <c r="J7" s="32"/>
      <c r="K7" s="32"/>
      <c r="L7" s="32"/>
      <c r="M7" s="40">
        <f t="shared" si="0"/>
        <v>0</v>
      </c>
      <c r="N7" s="40"/>
      <c r="O7" s="40"/>
      <c r="P7" s="32"/>
      <c r="Q7" s="24"/>
      <c r="R7" s="35"/>
      <c r="S7" s="35"/>
      <c r="T7" s="35"/>
      <c r="U7" s="35"/>
      <c r="V7" s="35"/>
      <c r="W7" s="35"/>
      <c r="X7" s="35"/>
      <c r="Y7" s="35"/>
    </row>
    <row r="8" ht="18" customHeight="1" spans="1:25">
      <c r="A8" s="25"/>
      <c r="B8" s="36"/>
      <c r="C8" s="36"/>
      <c r="D8" s="31" t="s">
        <v>58</v>
      </c>
      <c r="E8" s="32"/>
      <c r="F8" s="32"/>
      <c r="G8" s="32"/>
      <c r="H8" s="32"/>
      <c r="I8" s="32"/>
      <c r="J8" s="32"/>
      <c r="K8" s="32"/>
      <c r="L8" s="32"/>
      <c r="M8" s="40">
        <f t="shared" si="0"/>
        <v>0</v>
      </c>
      <c r="N8" s="40"/>
      <c r="O8" s="40"/>
      <c r="P8" s="32"/>
      <c r="Q8" s="24"/>
      <c r="R8" s="35"/>
      <c r="S8" s="35"/>
      <c r="T8" s="35"/>
      <c r="U8" s="35"/>
      <c r="V8" s="35"/>
      <c r="W8" s="35"/>
      <c r="X8" s="35"/>
      <c r="Y8" s="35"/>
    </row>
    <row r="9" ht="18" customHeight="1" spans="1:25">
      <c r="A9" s="41" t="s">
        <v>140</v>
      </c>
      <c r="B9" s="36" t="s">
        <v>59</v>
      </c>
      <c r="C9" s="36"/>
      <c r="D9" s="36"/>
      <c r="E9" s="31"/>
      <c r="F9" s="31"/>
      <c r="G9" s="31" t="s">
        <v>60</v>
      </c>
      <c r="H9" s="31" t="s">
        <v>61</v>
      </c>
      <c r="I9" s="31" t="s">
        <v>62</v>
      </c>
      <c r="J9" s="31" t="s">
        <v>63</v>
      </c>
      <c r="K9" s="31" t="s">
        <v>64</v>
      </c>
      <c r="L9" s="31"/>
      <c r="M9" s="31" t="s">
        <v>65</v>
      </c>
      <c r="N9" s="31"/>
      <c r="O9" s="31" t="s">
        <v>66</v>
      </c>
      <c r="P9" s="31" t="s">
        <v>67</v>
      </c>
      <c r="Q9" s="35"/>
      <c r="R9" s="35"/>
      <c r="S9" s="35"/>
      <c r="T9" s="35"/>
      <c r="U9" s="35"/>
      <c r="V9" s="35"/>
      <c r="W9" s="35"/>
      <c r="X9" s="35"/>
      <c r="Y9" s="35"/>
    </row>
    <row r="10" ht="18" customHeight="1" spans="1:25">
      <c r="A10" s="42"/>
      <c r="B10" s="36"/>
      <c r="C10" s="36"/>
      <c r="D10" s="36"/>
      <c r="E10" s="31" t="s">
        <v>68</v>
      </c>
      <c r="F10" s="31"/>
      <c r="G10" s="32"/>
      <c r="H10" s="32"/>
      <c r="I10" s="32"/>
      <c r="J10" s="32"/>
      <c r="K10" s="32"/>
      <c r="L10" s="32"/>
      <c r="M10" s="32"/>
      <c r="N10" s="32"/>
      <c r="O10" s="40">
        <f t="shared" ref="O10:O12" si="1">SUM(G10:N10)</f>
        <v>0</v>
      </c>
      <c r="P10" s="43">
        <f>'6年财报'!K7+O12-O10</f>
        <v>20</v>
      </c>
      <c r="Q10" s="35"/>
      <c r="R10" s="35"/>
      <c r="S10" s="35"/>
      <c r="T10" s="35"/>
      <c r="U10" s="35"/>
      <c r="V10" s="35"/>
      <c r="W10" s="35"/>
      <c r="X10" s="35"/>
      <c r="Y10" s="35"/>
    </row>
    <row r="11" ht="18" customHeight="1" spans="1:25">
      <c r="A11" s="42"/>
      <c r="B11" s="36"/>
      <c r="C11" s="36"/>
      <c r="D11" s="36"/>
      <c r="E11" s="31" t="s">
        <v>69</v>
      </c>
      <c r="F11" s="31"/>
      <c r="G11" s="32"/>
      <c r="H11" s="32"/>
      <c r="I11" s="32"/>
      <c r="J11" s="32"/>
      <c r="K11" s="32"/>
      <c r="L11" s="32"/>
      <c r="M11" s="32"/>
      <c r="N11" s="32"/>
      <c r="O11" s="40">
        <f t="shared" si="1"/>
        <v>0</v>
      </c>
      <c r="P11" s="44"/>
      <c r="Q11" s="35"/>
      <c r="R11" s="35"/>
      <c r="S11" s="35"/>
      <c r="T11" s="35"/>
      <c r="U11" s="35"/>
      <c r="V11" s="35"/>
      <c r="W11" s="35"/>
      <c r="X11" s="35"/>
      <c r="Y11" s="35"/>
    </row>
    <row r="12" ht="18" customHeight="1" spans="1:25">
      <c r="A12" s="45"/>
      <c r="B12" s="36"/>
      <c r="C12" s="36"/>
      <c r="D12" s="36"/>
      <c r="E12" s="31" t="s">
        <v>70</v>
      </c>
      <c r="F12" s="31"/>
      <c r="G12" s="32"/>
      <c r="H12" s="32"/>
      <c r="I12" s="32"/>
      <c r="J12" s="32"/>
      <c r="K12" s="32"/>
      <c r="L12" s="32"/>
      <c r="M12" s="32"/>
      <c r="N12" s="32"/>
      <c r="O12" s="40">
        <f t="shared" si="1"/>
        <v>0</v>
      </c>
      <c r="P12" s="46"/>
      <c r="Q12" s="35"/>
      <c r="R12" s="35"/>
      <c r="S12" s="35"/>
      <c r="T12" s="35"/>
      <c r="U12" s="35"/>
      <c r="V12" s="35"/>
      <c r="W12" s="35"/>
      <c r="X12" s="35"/>
      <c r="Y12" s="35"/>
    </row>
    <row r="13" ht="18" customHeight="1" spans="1:25">
      <c r="A13" s="47" t="s">
        <v>71</v>
      </c>
      <c r="B13" s="48" t="s">
        <v>72</v>
      </c>
      <c r="C13" s="49"/>
      <c r="D13" s="50"/>
      <c r="E13" s="37"/>
      <c r="F13" s="38"/>
      <c r="G13" s="31" t="s">
        <v>60</v>
      </c>
      <c r="H13" s="31" t="s">
        <v>61</v>
      </c>
      <c r="I13" s="31" t="s">
        <v>62</v>
      </c>
      <c r="J13" s="31" t="s">
        <v>63</v>
      </c>
      <c r="K13" s="31" t="s">
        <v>64</v>
      </c>
      <c r="L13" s="31"/>
      <c r="M13" s="31" t="s">
        <v>65</v>
      </c>
      <c r="N13" s="31"/>
      <c r="O13" s="31" t="s">
        <v>66</v>
      </c>
      <c r="P13" s="31"/>
      <c r="Q13" s="35"/>
      <c r="R13" s="35"/>
      <c r="S13" s="35"/>
      <c r="T13" s="35"/>
      <c r="U13" s="35"/>
      <c r="V13" s="35"/>
      <c r="W13" s="35"/>
      <c r="X13" s="35"/>
      <c r="Y13" s="35"/>
    </row>
    <row r="14" ht="18" customHeight="1" spans="1:25">
      <c r="A14" s="51"/>
      <c r="B14" s="52"/>
      <c r="C14" s="53"/>
      <c r="D14" s="54"/>
      <c r="E14" s="37" t="s">
        <v>48</v>
      </c>
      <c r="F14" s="38"/>
      <c r="G14" s="32"/>
      <c r="H14" s="32"/>
      <c r="I14" s="32"/>
      <c r="J14" s="32"/>
      <c r="K14" s="32"/>
      <c r="L14" s="32"/>
      <c r="M14" s="32"/>
      <c r="N14" s="32"/>
      <c r="O14" s="33">
        <f t="shared" ref="O14:O18" si="2">G14+I14+K14+M14</f>
        <v>0</v>
      </c>
      <c r="P14" s="34"/>
      <c r="Q14" s="35"/>
      <c r="R14" s="35"/>
      <c r="S14" s="35"/>
      <c r="T14" s="35"/>
      <c r="U14" s="35"/>
      <c r="V14" s="35"/>
      <c r="W14" s="35"/>
      <c r="X14" s="35"/>
      <c r="Y14" s="35"/>
    </row>
    <row r="15" ht="18" customHeight="1" spans="1:25">
      <c r="A15" s="51"/>
      <c r="B15" s="52"/>
      <c r="C15" s="53"/>
      <c r="D15" s="54"/>
      <c r="E15" s="37" t="s">
        <v>49</v>
      </c>
      <c r="F15" s="38"/>
      <c r="G15" s="32"/>
      <c r="H15" s="32"/>
      <c r="I15" s="32"/>
      <c r="J15" s="32"/>
      <c r="K15" s="32"/>
      <c r="L15" s="32"/>
      <c r="M15" s="32"/>
      <c r="N15" s="32"/>
      <c r="O15" s="33">
        <f t="shared" si="2"/>
        <v>0</v>
      </c>
      <c r="P15" s="34"/>
      <c r="Q15" s="35"/>
      <c r="R15" s="35"/>
      <c r="S15" s="35"/>
      <c r="T15" s="35"/>
      <c r="U15" s="35"/>
      <c r="V15" s="35"/>
      <c r="W15" s="35"/>
      <c r="X15" s="35"/>
      <c r="Y15" s="35"/>
    </row>
    <row r="16" ht="18" customHeight="1" spans="1:25">
      <c r="A16" s="51"/>
      <c r="B16" s="52"/>
      <c r="C16" s="53"/>
      <c r="D16" s="54"/>
      <c r="E16" s="37" t="s">
        <v>50</v>
      </c>
      <c r="F16" s="38"/>
      <c r="G16" s="32"/>
      <c r="H16" s="32"/>
      <c r="I16" s="32"/>
      <c r="J16" s="32"/>
      <c r="K16" s="32"/>
      <c r="L16" s="32"/>
      <c r="M16" s="32"/>
      <c r="N16" s="32"/>
      <c r="O16" s="33">
        <f t="shared" si="2"/>
        <v>0</v>
      </c>
      <c r="P16" s="34"/>
      <c r="Q16" s="35"/>
      <c r="R16" s="35"/>
      <c r="S16" s="35"/>
      <c r="T16" s="35"/>
      <c r="U16" s="35"/>
      <c r="V16" s="35"/>
      <c r="W16" s="35"/>
      <c r="X16" s="35"/>
      <c r="Y16" s="35"/>
    </row>
    <row r="17" ht="18" customHeight="1" spans="1:25">
      <c r="A17" s="51"/>
      <c r="B17" s="52"/>
      <c r="C17" s="53"/>
      <c r="D17" s="54"/>
      <c r="E17" s="37" t="s">
        <v>51</v>
      </c>
      <c r="F17" s="38"/>
      <c r="G17" s="32"/>
      <c r="H17" s="32"/>
      <c r="I17" s="32"/>
      <c r="J17" s="32"/>
      <c r="K17" s="32"/>
      <c r="L17" s="32"/>
      <c r="M17" s="32"/>
      <c r="N17" s="32"/>
      <c r="O17" s="33">
        <f t="shared" si="2"/>
        <v>0</v>
      </c>
      <c r="P17" s="34"/>
      <c r="Q17" s="35"/>
      <c r="R17" s="35"/>
      <c r="S17" s="35"/>
      <c r="T17" s="35"/>
      <c r="U17" s="35"/>
      <c r="V17" s="35"/>
      <c r="W17" s="35"/>
      <c r="X17" s="35"/>
      <c r="Y17" s="35"/>
    </row>
    <row r="18" ht="18" customHeight="1" spans="1:25">
      <c r="A18" s="55"/>
      <c r="B18" s="56"/>
      <c r="C18" s="57"/>
      <c r="D18" s="58"/>
      <c r="E18" s="37" t="s">
        <v>73</v>
      </c>
      <c r="F18" s="38"/>
      <c r="G18" s="33">
        <f t="shared" ref="G18:K18" si="3">G14+G15+G16+G17</f>
        <v>0</v>
      </c>
      <c r="H18" s="34">
        <f>SUM(H14:H17)</f>
        <v>0</v>
      </c>
      <c r="I18" s="33">
        <f t="shared" si="3"/>
        <v>0</v>
      </c>
      <c r="J18" s="34"/>
      <c r="K18" s="33">
        <f t="shared" si="3"/>
        <v>0</v>
      </c>
      <c r="L18" s="34"/>
      <c r="M18" s="33">
        <f>M14+M15+M16+M17</f>
        <v>0</v>
      </c>
      <c r="N18" s="34"/>
      <c r="O18" s="33">
        <f t="shared" si="2"/>
        <v>0</v>
      </c>
      <c r="P18" s="34"/>
      <c r="Q18" s="35"/>
      <c r="R18" s="35"/>
      <c r="S18" s="35"/>
      <c r="T18" s="35"/>
      <c r="U18" s="35"/>
      <c r="V18" s="35"/>
      <c r="W18" s="35"/>
      <c r="X18" s="35"/>
      <c r="Y18" s="35"/>
    </row>
    <row r="19" ht="21" customHeight="1" spans="1:25">
      <c r="A19" s="41" t="s">
        <v>71</v>
      </c>
      <c r="B19" s="59" t="s">
        <v>74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/>
      <c r="Q19" s="35"/>
      <c r="R19" s="35"/>
      <c r="S19" s="35"/>
      <c r="T19" s="35"/>
      <c r="U19" s="35"/>
      <c r="V19" s="35"/>
      <c r="W19" s="35"/>
      <c r="X19" s="35"/>
      <c r="Y19" s="35"/>
    </row>
    <row r="20" ht="21" customHeight="1" spans="1:25">
      <c r="A20" s="42"/>
      <c r="B20" s="62" t="s">
        <v>75</v>
      </c>
      <c r="C20" s="62"/>
      <c r="D20" s="62"/>
      <c r="E20" s="63"/>
      <c r="F20" s="64"/>
      <c r="G20" s="65" t="s">
        <v>60</v>
      </c>
      <c r="H20" s="65" t="s">
        <v>61</v>
      </c>
      <c r="I20" s="65" t="s">
        <v>62</v>
      </c>
      <c r="J20" s="65" t="s">
        <v>63</v>
      </c>
      <c r="K20" s="65" t="s">
        <v>64</v>
      </c>
      <c r="L20" s="65"/>
      <c r="M20" s="65" t="s">
        <v>65</v>
      </c>
      <c r="N20" s="65"/>
      <c r="O20" s="65" t="s">
        <v>66</v>
      </c>
      <c r="P20" s="65"/>
      <c r="Q20" s="35"/>
      <c r="R20" s="35"/>
      <c r="S20" s="35"/>
      <c r="T20" s="35"/>
      <c r="U20" s="35"/>
      <c r="V20" s="35"/>
      <c r="W20" s="35"/>
      <c r="X20" s="35"/>
      <c r="Y20" s="35"/>
    </row>
    <row r="21" ht="21" customHeight="1" spans="1:25">
      <c r="A21" s="42"/>
      <c r="B21" s="36"/>
      <c r="C21" s="36"/>
      <c r="D21" s="36"/>
      <c r="E21" s="36" t="s">
        <v>76</v>
      </c>
      <c r="F21" s="36"/>
      <c r="G21" s="32"/>
      <c r="H21" s="32"/>
      <c r="I21" s="32"/>
      <c r="J21" s="32"/>
      <c r="K21" s="32"/>
      <c r="L21" s="32"/>
      <c r="M21" s="32"/>
      <c r="N21" s="32"/>
      <c r="O21" s="40">
        <f>SUM(G21:N21)</f>
        <v>0</v>
      </c>
      <c r="P21" s="40"/>
      <c r="Q21" s="35"/>
      <c r="R21" s="35"/>
      <c r="S21" s="35"/>
      <c r="T21" s="35"/>
      <c r="U21" s="35"/>
      <c r="V21" s="35"/>
      <c r="W21" s="35"/>
      <c r="X21" s="35"/>
      <c r="Y21" s="35"/>
    </row>
    <row r="22" ht="21" customHeight="1" spans="1:25">
      <c r="A22" s="42"/>
      <c r="B22" s="36"/>
      <c r="C22" s="36"/>
      <c r="D22" s="36"/>
      <c r="E22" s="36" t="s">
        <v>77</v>
      </c>
      <c r="F22" s="36"/>
      <c r="G22" s="32"/>
      <c r="H22" s="32"/>
      <c r="I22" s="32"/>
      <c r="J22" s="32"/>
      <c r="K22" s="32"/>
      <c r="L22" s="32"/>
      <c r="M22" s="32"/>
      <c r="N22" s="32"/>
      <c r="O22" s="40">
        <f>G22+I22+K22+M22</f>
        <v>0</v>
      </c>
      <c r="P22" s="40"/>
      <c r="Q22" s="35"/>
      <c r="R22" s="35"/>
      <c r="S22" s="35"/>
      <c r="T22" s="35"/>
      <c r="U22" s="35"/>
      <c r="V22" s="35"/>
      <c r="W22" s="35"/>
      <c r="X22" s="35"/>
      <c r="Y22" s="35"/>
    </row>
    <row r="23" ht="21" customHeight="1" spans="1:25">
      <c r="A23" s="42"/>
      <c r="B23" s="36"/>
      <c r="C23" s="36"/>
      <c r="D23" s="36"/>
      <c r="E23" s="48" t="s">
        <v>78</v>
      </c>
      <c r="F23" s="50"/>
      <c r="G23" s="66"/>
      <c r="H23" s="67"/>
      <c r="I23" s="68"/>
      <c r="J23" s="69"/>
      <c r="K23" s="68"/>
      <c r="L23" s="69"/>
      <c r="M23" s="68"/>
      <c r="N23" s="69"/>
      <c r="O23" s="70">
        <f>SUM(G23:N25)</f>
        <v>0</v>
      </c>
      <c r="P23" s="71"/>
      <c r="Q23" s="35"/>
      <c r="R23" s="35"/>
      <c r="S23" s="35"/>
      <c r="T23" s="35"/>
      <c r="U23" s="35"/>
      <c r="V23" s="35"/>
      <c r="W23" s="35"/>
      <c r="X23" s="35"/>
      <c r="Y23" s="35"/>
    </row>
    <row r="24" ht="21" customHeight="1" spans="1:25">
      <c r="A24" s="42"/>
      <c r="B24" s="36"/>
      <c r="C24" s="36"/>
      <c r="D24" s="36"/>
      <c r="E24" s="52"/>
      <c r="F24" s="54"/>
      <c r="G24" s="72"/>
      <c r="H24" s="73"/>
      <c r="I24" s="74"/>
      <c r="J24" s="75"/>
      <c r="K24" s="74"/>
      <c r="L24" s="75"/>
      <c r="M24" s="74"/>
      <c r="N24" s="75"/>
      <c r="O24" s="76"/>
      <c r="P24" s="77"/>
      <c r="Q24" s="35"/>
      <c r="R24" s="35"/>
      <c r="S24" s="35"/>
      <c r="T24" s="35"/>
      <c r="U24" s="35"/>
      <c r="V24" s="35"/>
      <c r="W24" s="35"/>
      <c r="X24" s="35"/>
      <c r="Y24" s="35"/>
    </row>
    <row r="25" ht="21" customHeight="1" spans="1:25">
      <c r="A25" s="42"/>
      <c r="B25" s="36"/>
      <c r="C25" s="36"/>
      <c r="D25" s="36"/>
      <c r="E25" s="56"/>
      <c r="F25" s="58"/>
      <c r="G25" s="78"/>
      <c r="H25" s="79"/>
      <c r="I25" s="80"/>
      <c r="J25" s="81"/>
      <c r="K25" s="80"/>
      <c r="L25" s="81"/>
      <c r="M25" s="80"/>
      <c r="N25" s="81"/>
      <c r="O25" s="82"/>
      <c r="P25" s="83"/>
    </row>
    <row r="26" ht="18.75" customHeight="1" spans="1:25">
      <c r="A26" s="42"/>
      <c r="B26" s="36"/>
      <c r="C26" s="36"/>
      <c r="D26" s="36"/>
      <c r="E26" s="84" t="s">
        <v>79</v>
      </c>
      <c r="F26" s="84"/>
      <c r="G26" s="32"/>
      <c r="H26" s="32"/>
      <c r="I26" s="32"/>
      <c r="J26" s="32"/>
      <c r="K26" s="32"/>
      <c r="L26" s="32"/>
      <c r="M26" s="32"/>
      <c r="N26" s="32"/>
      <c r="O26" s="40">
        <f t="shared" ref="O26:O28" si="4">SUM(G26:N26)</f>
        <v>0</v>
      </c>
      <c r="P26" s="40"/>
    </row>
    <row r="27" ht="18.75" customHeight="1" spans="1:25">
      <c r="A27" s="42"/>
      <c r="B27" s="36"/>
      <c r="C27" s="36"/>
      <c r="D27" s="36"/>
      <c r="E27" s="85" t="s">
        <v>80</v>
      </c>
      <c r="F27" s="86" t="s">
        <v>11</v>
      </c>
      <c r="G27" s="32"/>
      <c r="H27" s="32"/>
      <c r="I27" s="32"/>
      <c r="J27" s="32"/>
      <c r="K27" s="32"/>
      <c r="L27" s="32"/>
      <c r="M27" s="32"/>
      <c r="N27" s="32"/>
      <c r="O27" s="40">
        <f t="shared" si="4"/>
        <v>0</v>
      </c>
      <c r="P27" s="40"/>
    </row>
    <row r="28" ht="18.75" spans="1:25">
      <c r="A28" s="42"/>
      <c r="B28" s="36"/>
      <c r="C28" s="36"/>
      <c r="D28" s="36"/>
      <c r="E28" s="87"/>
      <c r="F28" s="86" t="s">
        <v>13</v>
      </c>
      <c r="G28" s="32"/>
      <c r="H28" s="32"/>
      <c r="I28" s="32"/>
      <c r="J28" s="32"/>
      <c r="K28" s="32"/>
      <c r="L28" s="32"/>
      <c r="M28" s="32"/>
      <c r="N28" s="32"/>
      <c r="O28" s="40">
        <f t="shared" si="4"/>
        <v>0</v>
      </c>
      <c r="P28" s="40"/>
    </row>
    <row r="29" ht="17.45" customHeight="1" spans="1:25">
      <c r="A29" s="42"/>
      <c r="B29" s="36" t="s">
        <v>81</v>
      </c>
      <c r="C29" s="36"/>
      <c r="D29" s="36"/>
      <c r="E29" s="88" t="s">
        <v>82</v>
      </c>
      <c r="F29" s="89"/>
      <c r="G29" s="32"/>
      <c r="H29" s="32"/>
      <c r="I29" s="32"/>
      <c r="J29" s="32"/>
      <c r="K29" s="32"/>
      <c r="L29" s="32"/>
      <c r="M29" s="32"/>
      <c r="N29" s="32"/>
      <c r="O29" s="40">
        <f>SUM(G29:N30)</f>
        <v>0</v>
      </c>
      <c r="P29" s="40"/>
    </row>
    <row r="30" ht="17.45" customHeight="1" spans="1:25">
      <c r="A30" s="42"/>
      <c r="B30" s="36"/>
      <c r="C30" s="36"/>
      <c r="D30" s="36"/>
      <c r="E30" s="89"/>
      <c r="F30" s="89"/>
      <c r="G30" s="32"/>
      <c r="H30" s="32"/>
      <c r="I30" s="32"/>
      <c r="J30" s="32"/>
      <c r="K30" s="32"/>
      <c r="L30" s="32"/>
      <c r="M30" s="32"/>
      <c r="N30" s="32"/>
      <c r="O30" s="40"/>
      <c r="P30" s="40"/>
    </row>
    <row r="31" ht="17.45" customHeight="1" spans="1:25">
      <c r="A31" s="42"/>
      <c r="B31" s="89" t="s">
        <v>83</v>
      </c>
      <c r="C31" s="89"/>
      <c r="D31" s="89"/>
      <c r="E31" s="89" t="s">
        <v>84</v>
      </c>
      <c r="F31" s="36"/>
      <c r="G31" s="32"/>
      <c r="H31" s="32"/>
      <c r="I31" s="32"/>
      <c r="J31" s="32"/>
      <c r="K31" s="32"/>
      <c r="L31" s="32"/>
      <c r="M31" s="32"/>
      <c r="N31" s="32"/>
      <c r="O31" s="40">
        <f>SUM(G31:N32)</f>
        <v>0</v>
      </c>
      <c r="P31" s="40"/>
    </row>
    <row r="32" ht="17.45" customHeight="1" spans="1:25">
      <c r="A32" s="42"/>
      <c r="B32" s="89"/>
      <c r="C32" s="89"/>
      <c r="D32" s="89"/>
      <c r="E32" s="36"/>
      <c r="F32" s="36"/>
      <c r="G32" s="32"/>
      <c r="H32" s="32"/>
      <c r="I32" s="32"/>
      <c r="J32" s="32"/>
      <c r="K32" s="32"/>
      <c r="L32" s="32"/>
      <c r="M32" s="32"/>
      <c r="N32" s="32"/>
      <c r="O32" s="40"/>
      <c r="P32" s="40"/>
    </row>
    <row r="33" ht="18.75" spans="1:16">
      <c r="A33" s="42"/>
      <c r="B33" s="90" t="s">
        <v>85</v>
      </c>
      <c r="C33" s="90"/>
      <c r="D33" s="90"/>
      <c r="E33" s="90" t="s">
        <v>86</v>
      </c>
      <c r="F33" s="90"/>
      <c r="G33" s="32"/>
      <c r="H33" s="32"/>
      <c r="I33" s="32"/>
      <c r="J33" s="32"/>
      <c r="K33" s="32"/>
      <c r="L33" s="32"/>
      <c r="M33" s="32"/>
      <c r="N33" s="32"/>
      <c r="O33" s="40">
        <f t="shared" ref="O33:O40" si="5">SUM(G33:N33)</f>
        <v>0</v>
      </c>
      <c r="P33" s="40"/>
    </row>
    <row r="34" ht="18.75" spans="1:16">
      <c r="A34" s="42"/>
      <c r="B34" s="90" t="s">
        <v>87</v>
      </c>
      <c r="C34" s="90"/>
      <c r="D34" s="90"/>
      <c r="E34" s="91" t="s">
        <v>88</v>
      </c>
      <c r="F34" s="90"/>
      <c r="G34" s="32"/>
      <c r="H34" s="32"/>
      <c r="I34" s="32"/>
      <c r="J34" s="32"/>
      <c r="K34" s="32"/>
      <c r="L34" s="32"/>
      <c r="M34" s="32"/>
      <c r="N34" s="32"/>
      <c r="O34" s="40">
        <f t="shared" si="5"/>
        <v>0</v>
      </c>
      <c r="P34" s="40"/>
    </row>
    <row r="35" ht="18.75" spans="1:16">
      <c r="A35" s="42"/>
      <c r="B35" s="90" t="s">
        <v>89</v>
      </c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</row>
    <row r="36" ht="17.45" customHeight="1" spans="1:16">
      <c r="A36" s="42"/>
      <c r="B36" s="92" t="s">
        <v>90</v>
      </c>
      <c r="C36" s="93"/>
      <c r="D36" s="93"/>
      <c r="E36" s="89" t="s">
        <v>91</v>
      </c>
      <c r="F36" s="89"/>
      <c r="G36" s="32"/>
      <c r="H36" s="32"/>
      <c r="I36" s="32"/>
      <c r="J36" s="32"/>
      <c r="K36" s="32"/>
      <c r="L36" s="32"/>
      <c r="M36" s="32"/>
      <c r="N36" s="32"/>
      <c r="O36" s="40">
        <f>SUM(G36:N37)</f>
        <v>0</v>
      </c>
      <c r="P36" s="40"/>
    </row>
    <row r="37" ht="17.45" customHeight="1" spans="1:16">
      <c r="A37" s="42"/>
      <c r="B37" s="93"/>
      <c r="C37" s="93"/>
      <c r="D37" s="93"/>
      <c r="E37" s="89"/>
      <c r="F37" s="89"/>
      <c r="G37" s="32"/>
      <c r="H37" s="32"/>
      <c r="I37" s="32"/>
      <c r="J37" s="32"/>
      <c r="K37" s="32"/>
      <c r="L37" s="32"/>
      <c r="M37" s="32"/>
      <c r="N37" s="32"/>
      <c r="O37" s="40"/>
      <c r="P37" s="40"/>
    </row>
    <row r="38" ht="18.75" customHeight="1" spans="1:16">
      <c r="A38" s="42"/>
      <c r="B38" s="36" t="s">
        <v>92</v>
      </c>
      <c r="C38" s="90"/>
      <c r="D38" s="90"/>
      <c r="E38" s="94" t="s">
        <v>93</v>
      </c>
      <c r="F38" s="95"/>
      <c r="G38" s="96"/>
      <c r="H38" s="97"/>
      <c r="I38" s="96"/>
      <c r="J38" s="97"/>
      <c r="K38" s="96"/>
      <c r="L38" s="97"/>
      <c r="M38" s="96"/>
      <c r="N38" s="97"/>
      <c r="O38" s="40">
        <f t="shared" si="5"/>
        <v>0</v>
      </c>
      <c r="P38" s="40"/>
    </row>
    <row r="39" ht="18.75" customHeight="1" spans="1:16">
      <c r="A39" s="42"/>
      <c r="B39" s="90"/>
      <c r="C39" s="90"/>
      <c r="D39" s="90"/>
      <c r="E39" s="94" t="s">
        <v>94</v>
      </c>
      <c r="F39" s="95"/>
      <c r="G39" s="96"/>
      <c r="H39" s="97"/>
      <c r="I39" s="96"/>
      <c r="J39" s="97"/>
      <c r="K39" s="96"/>
      <c r="L39" s="97"/>
      <c r="M39" s="96"/>
      <c r="N39" s="97"/>
      <c r="O39" s="40">
        <f t="shared" si="5"/>
        <v>0</v>
      </c>
      <c r="P39" s="40"/>
    </row>
    <row r="40" ht="18.75" spans="1:16">
      <c r="A40" s="45"/>
      <c r="B40" s="93" t="s">
        <v>95</v>
      </c>
      <c r="C40" s="93"/>
      <c r="D40" s="93"/>
      <c r="E40" s="98" t="s">
        <v>96</v>
      </c>
      <c r="F40" s="98"/>
      <c r="G40" s="32"/>
      <c r="H40" s="32"/>
      <c r="I40" s="32"/>
      <c r="J40" s="32"/>
      <c r="K40" s="32"/>
      <c r="L40" s="32"/>
      <c r="M40" s="32"/>
      <c r="N40" s="32"/>
      <c r="O40" s="40">
        <f t="shared" si="5"/>
        <v>0</v>
      </c>
      <c r="P40" s="40"/>
    </row>
    <row r="41" ht="18" customHeight="1" spans="1:16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65" t="s">
        <v>66</v>
      </c>
      <c r="P41" s="65" t="s">
        <v>67</v>
      </c>
    </row>
    <row r="42" ht="18.75" customHeight="1" spans="1:16">
      <c r="A42" s="100" t="s">
        <v>97</v>
      </c>
      <c r="B42" s="36" t="s">
        <v>98</v>
      </c>
      <c r="C42" s="36"/>
      <c r="D42" s="36"/>
      <c r="E42" s="101" t="s">
        <v>69</v>
      </c>
      <c r="F42" s="90"/>
      <c r="G42" s="102" t="s">
        <v>99</v>
      </c>
      <c r="H42" s="102"/>
      <c r="I42" s="102"/>
      <c r="J42" s="102"/>
      <c r="K42" s="102"/>
      <c r="L42" s="102"/>
      <c r="M42" s="102"/>
      <c r="N42" s="102"/>
      <c r="O42" s="103"/>
      <c r="P42" s="43">
        <f>'6年财报'!K8+O44-O43</f>
        <v>0</v>
      </c>
    </row>
    <row r="43" ht="18.75" customHeight="1" spans="1:16">
      <c r="A43" s="104"/>
      <c r="B43" s="36"/>
      <c r="C43" s="36"/>
      <c r="D43" s="36"/>
      <c r="E43" s="101" t="s">
        <v>100</v>
      </c>
      <c r="F43" s="90"/>
      <c r="G43" s="102" t="s">
        <v>101</v>
      </c>
      <c r="H43" s="102"/>
      <c r="I43" s="102"/>
      <c r="J43" s="102"/>
      <c r="K43" s="102"/>
      <c r="L43" s="102"/>
      <c r="M43" s="102"/>
      <c r="N43" s="102"/>
      <c r="O43" s="103"/>
      <c r="P43" s="44"/>
    </row>
    <row r="44" ht="18.75" customHeight="1" spans="1:16">
      <c r="A44" s="104"/>
      <c r="B44" s="36"/>
      <c r="C44" s="36"/>
      <c r="D44" s="36"/>
      <c r="E44" s="101" t="s">
        <v>102</v>
      </c>
      <c r="F44" s="90"/>
      <c r="G44" s="102" t="s">
        <v>101</v>
      </c>
      <c r="H44" s="102"/>
      <c r="I44" s="102"/>
      <c r="J44" s="102"/>
      <c r="K44" s="102"/>
      <c r="L44" s="102"/>
      <c r="M44" s="102"/>
      <c r="N44" s="102"/>
      <c r="O44" s="103"/>
      <c r="P44" s="46"/>
    </row>
    <row r="45" ht="18.75" customHeight="1" spans="1:16">
      <c r="A45" s="104"/>
      <c r="B45" s="105" t="s">
        <v>141</v>
      </c>
      <c r="C45" s="105"/>
      <c r="D45" s="105"/>
      <c r="E45" s="105"/>
      <c r="F45" s="106"/>
      <c r="G45" s="102" t="s">
        <v>101</v>
      </c>
      <c r="H45" s="102"/>
      <c r="I45" s="102"/>
      <c r="J45" s="102"/>
      <c r="K45" s="102"/>
      <c r="L45" s="102"/>
      <c r="M45" s="102"/>
      <c r="N45" s="102"/>
      <c r="O45" s="32"/>
      <c r="P45" s="32"/>
    </row>
    <row r="46" ht="18.75" customHeight="1" spans="1:16">
      <c r="A46" s="104"/>
      <c r="B46" s="107" t="s">
        <v>142</v>
      </c>
      <c r="C46" s="108"/>
      <c r="D46" s="109"/>
      <c r="E46" s="110" t="s">
        <v>105</v>
      </c>
      <c r="F46" s="111"/>
      <c r="G46" s="112" t="s">
        <v>143</v>
      </c>
      <c r="H46" s="113"/>
      <c r="I46" s="113"/>
      <c r="J46" s="113"/>
      <c r="K46" s="113"/>
      <c r="L46" s="113"/>
      <c r="M46" s="113"/>
      <c r="N46" s="114"/>
      <c r="O46" s="32"/>
      <c r="P46" s="32"/>
    </row>
    <row r="47" ht="18.75" spans="1:16">
      <c r="A47" s="104"/>
      <c r="B47" s="106"/>
      <c r="C47" s="115"/>
      <c r="D47" s="116"/>
      <c r="E47" s="110" t="s">
        <v>107</v>
      </c>
      <c r="F47" s="111"/>
      <c r="G47" s="117"/>
      <c r="H47" s="118"/>
      <c r="I47" s="118"/>
      <c r="J47" s="118"/>
      <c r="K47" s="118"/>
      <c r="L47" s="118"/>
      <c r="M47" s="118"/>
      <c r="N47" s="119"/>
      <c r="O47" s="120"/>
      <c r="P47" s="121"/>
    </row>
    <row r="48" ht="18.75" customHeight="1" spans="1:16">
      <c r="A48" s="104"/>
      <c r="B48" s="90" t="s">
        <v>144</v>
      </c>
      <c r="C48" s="90"/>
      <c r="D48" s="90"/>
      <c r="E48" s="90"/>
      <c r="F48" s="122"/>
      <c r="G48" s="123" t="s">
        <v>145</v>
      </c>
      <c r="H48" s="123"/>
      <c r="I48" s="123"/>
      <c r="J48" s="123"/>
      <c r="K48" s="123"/>
      <c r="L48" s="123"/>
      <c r="M48" s="123"/>
      <c r="N48" s="123"/>
      <c r="O48" s="32"/>
      <c r="P48" s="32"/>
    </row>
    <row r="49" ht="18.75" spans="1:16">
      <c r="A49" s="104"/>
      <c r="B49" s="107" t="s">
        <v>110</v>
      </c>
      <c r="C49" s="108"/>
      <c r="D49" s="108"/>
      <c r="E49" s="108"/>
      <c r="F49" s="108"/>
      <c r="G49" s="124"/>
      <c r="H49" s="102"/>
      <c r="I49" s="102"/>
      <c r="J49" s="102"/>
      <c r="K49" s="102"/>
      <c r="L49" s="102"/>
      <c r="M49" s="102"/>
      <c r="N49" s="102"/>
      <c r="O49" s="29">
        <f>'6年财报'!G7+O27-O23</f>
        <v>3</v>
      </c>
      <c r="P49" s="29"/>
    </row>
    <row r="50" ht="18.75" customHeight="1" spans="1:16">
      <c r="A50" s="104"/>
      <c r="B50" s="36" t="s">
        <v>111</v>
      </c>
      <c r="C50" s="36"/>
      <c r="D50" s="36"/>
      <c r="E50" s="36" t="s">
        <v>112</v>
      </c>
      <c r="F50" s="36"/>
      <c r="G50" s="36"/>
      <c r="H50" s="36"/>
      <c r="I50" s="36"/>
      <c r="J50" s="36"/>
      <c r="K50" s="36"/>
      <c r="L50" s="36"/>
      <c r="M50" s="36"/>
      <c r="N50" s="36"/>
      <c r="O50" s="29">
        <f>'6年财报'!G8+O28</f>
        <v>0</v>
      </c>
      <c r="P50" s="29"/>
    </row>
    <row r="51" ht="18.75" customHeight="1" spans="1:16">
      <c r="A51" s="104"/>
      <c r="B51" s="36"/>
      <c r="C51" s="36"/>
      <c r="D51" s="36"/>
      <c r="E51" s="36" t="s">
        <v>113</v>
      </c>
      <c r="F51" s="36"/>
      <c r="G51" s="36"/>
      <c r="H51" s="36"/>
      <c r="I51" s="36"/>
      <c r="J51" s="36"/>
      <c r="K51" s="36"/>
      <c r="L51" s="36"/>
      <c r="M51" s="36"/>
      <c r="N51" s="36"/>
      <c r="O51" s="40" t="str">
        <f>FIXED(O50/3,0,TRUE)</f>
        <v>0</v>
      </c>
      <c r="P51" s="40"/>
    </row>
    <row r="52" ht="18.75" customHeight="1" spans="1:16">
      <c r="A52" s="104"/>
      <c r="B52" s="36"/>
      <c r="C52" s="36"/>
      <c r="D52" s="36"/>
      <c r="E52" s="36" t="s">
        <v>114</v>
      </c>
      <c r="F52" s="36"/>
      <c r="G52" s="36"/>
      <c r="H52" s="36"/>
      <c r="I52" s="36"/>
      <c r="J52" s="36"/>
      <c r="K52" s="36"/>
      <c r="L52" s="36"/>
      <c r="M52" s="36"/>
      <c r="N52" s="36"/>
      <c r="O52" s="32"/>
      <c r="P52" s="32"/>
    </row>
    <row r="53" ht="18.75" customHeight="1" spans="1:16">
      <c r="A53" s="104"/>
      <c r="B53" s="59" t="s">
        <v>115</v>
      </c>
      <c r="C53" s="60"/>
      <c r="D53" s="61"/>
      <c r="E53" s="59" t="s">
        <v>116</v>
      </c>
      <c r="F53" s="60"/>
      <c r="G53" s="60"/>
      <c r="H53" s="60"/>
      <c r="I53" s="60"/>
      <c r="J53" s="60"/>
      <c r="K53" s="60"/>
      <c r="L53" s="60"/>
      <c r="M53" s="60"/>
      <c r="N53" s="61"/>
      <c r="O53" s="125"/>
      <c r="P53" s="126"/>
    </row>
    <row r="54" ht="18" customHeight="1" spans="1:16">
      <c r="A54" s="127" t="s">
        <v>117</v>
      </c>
      <c r="B54" s="128"/>
      <c r="C54" s="128"/>
      <c r="D54" s="128"/>
      <c r="E54" s="128"/>
      <c r="F54" s="129"/>
      <c r="G54" s="65" t="s">
        <v>60</v>
      </c>
      <c r="H54" s="65" t="s">
        <v>61</v>
      </c>
      <c r="I54" s="65" t="s">
        <v>62</v>
      </c>
      <c r="J54" s="65" t="s">
        <v>63</v>
      </c>
      <c r="K54" s="65" t="s">
        <v>64</v>
      </c>
      <c r="L54" s="65"/>
      <c r="M54" s="65" t="s">
        <v>65</v>
      </c>
      <c r="N54" s="65"/>
      <c r="O54" s="65" t="s">
        <v>66</v>
      </c>
      <c r="P54" s="65"/>
    </row>
    <row r="55" ht="18" customHeight="1" spans="1:16">
      <c r="A55" s="127"/>
      <c r="B55" s="90" t="s">
        <v>118</v>
      </c>
      <c r="C55" s="90"/>
      <c r="D55" s="90"/>
      <c r="E55" s="130" t="s">
        <v>119</v>
      </c>
      <c r="F55" s="131"/>
      <c r="G55" s="103"/>
      <c r="H55" s="103"/>
      <c r="I55" s="103"/>
      <c r="J55" s="103"/>
      <c r="K55" s="103"/>
      <c r="L55" s="103"/>
      <c r="M55" s="103"/>
      <c r="N55" s="103"/>
      <c r="O55" s="132">
        <f>SUM((G55:N56))</f>
        <v>0</v>
      </c>
      <c r="P55" s="132"/>
    </row>
    <row r="56" ht="18" customHeight="1" spans="1:16">
      <c r="A56" s="127"/>
      <c r="B56" s="90"/>
      <c r="C56" s="90"/>
      <c r="D56" s="90"/>
      <c r="E56" s="130"/>
      <c r="F56" s="131"/>
      <c r="G56" s="103"/>
      <c r="H56" s="103"/>
      <c r="I56" s="103"/>
      <c r="J56" s="103"/>
      <c r="K56" s="103"/>
      <c r="L56" s="103"/>
      <c r="M56" s="103"/>
      <c r="N56" s="103"/>
      <c r="O56" s="132"/>
      <c r="P56" s="132"/>
    </row>
    <row r="57" ht="18" customHeight="1" spans="1:16">
      <c r="A57" s="127"/>
      <c r="B57" s="90" t="s">
        <v>120</v>
      </c>
      <c r="C57" s="90"/>
      <c r="D57" s="90"/>
      <c r="E57" s="90"/>
      <c r="F57" s="122"/>
      <c r="G57" s="102" t="s">
        <v>101</v>
      </c>
      <c r="H57" s="102"/>
      <c r="I57" s="102"/>
      <c r="J57" s="102"/>
      <c r="K57" s="102"/>
      <c r="L57" s="102"/>
      <c r="M57" s="102"/>
      <c r="N57" s="102"/>
      <c r="O57" s="133"/>
      <c r="P57" s="134"/>
    </row>
    <row r="58" ht="18" customHeight="1" spans="1:16">
      <c r="A58" s="127"/>
      <c r="B58" s="90" t="s">
        <v>121</v>
      </c>
      <c r="C58" s="90"/>
      <c r="D58" s="90"/>
      <c r="E58" s="90"/>
      <c r="F58" s="122"/>
      <c r="G58" s="102" t="s">
        <v>101</v>
      </c>
      <c r="H58" s="102"/>
      <c r="I58" s="102"/>
      <c r="J58" s="102"/>
      <c r="K58" s="102"/>
      <c r="L58" s="102"/>
      <c r="M58" s="102"/>
      <c r="N58" s="102"/>
      <c r="O58" s="103"/>
      <c r="P58" s="103"/>
    </row>
    <row r="59" ht="18.75" customHeight="1" spans="1:16">
      <c r="B59" s="30" t="s">
        <v>21</v>
      </c>
      <c r="C59" s="135">
        <f>'6年财报'!$G$13+$F$59-$I$59</f>
        <v>35</v>
      </c>
      <c r="D59" s="84" t="s">
        <v>122</v>
      </c>
      <c r="E59" s="84"/>
      <c r="F59" s="33">
        <f>$O$12+$O$23+$O$36+$O$44+$O$47+$O$58</f>
        <v>0</v>
      </c>
      <c r="G59" s="84" t="s">
        <v>123</v>
      </c>
      <c r="H59" s="136"/>
      <c r="I59" s="137">
        <f>$M$1+$P$5+$O$10+$O$11+$O$18+$O$21+$O$22+$O$26+$O$29+$O$31+$O$33+$O$34+$O$40+$O$45+$O$46+$O$42+$O$43+$O$48+$O$53+$O$55+$O$57</f>
        <v>0</v>
      </c>
      <c r="J59" s="138" t="s">
        <v>124</v>
      </c>
      <c r="K59" s="139" t="e">
        <f>$O$5/$P$5</f>
        <v>#DIV/0!</v>
      </c>
      <c r="L59" s="140" t="s">
        <v>125</v>
      </c>
      <c r="M59" s="141" t="e">
        <f>$O$33/($O$38+$O$58)</f>
        <v>#DIV/0!</v>
      </c>
      <c r="N59" s="142" t="s">
        <v>126</v>
      </c>
      <c r="O59" s="143">
        <f>($O$38-$O$39--$O$11-$P$5-$M$1-$O$21-$O$22--$O$29-$O$33-$O$34-$O$42-$O$45-$O$48-$O$53-$O$57+$O$58)/($O$31*7+5)*100</f>
        <v>0</v>
      </c>
    </row>
    <row r="60" ht="18.75" spans="1:16">
      <c r="A60" s="144" t="s">
        <v>27</v>
      </c>
      <c r="B60" s="145"/>
      <c r="C60" s="33">
        <f>$O$11+$O$42+$O$55</f>
        <v>0</v>
      </c>
      <c r="D60" s="138" t="s">
        <v>127</v>
      </c>
      <c r="E60" s="33">
        <f>$O$46-$O$47</f>
        <v>0</v>
      </c>
      <c r="F60" s="146" t="s">
        <v>128</v>
      </c>
      <c r="G60" s="40">
        <f>$O$38-$O$36</f>
        <v>0</v>
      </c>
      <c r="H60" s="147" t="s">
        <v>146</v>
      </c>
      <c r="I60" s="148">
        <f>'7年财报'!$C$22/'7年财报'!$K$19</f>
        <v>0</v>
      </c>
      <c r="J60" s="149" t="s">
        <v>130</v>
      </c>
      <c r="K60" s="148">
        <f>'7年财报'!$C$22/'7年财报'!$G$22</f>
        <v>0</v>
      </c>
      <c r="L60" s="150"/>
      <c r="M60" s="151"/>
      <c r="N60" s="150"/>
      <c r="O60" s="152"/>
      <c r="P60" s="153"/>
    </row>
    <row r="61" ht="18.75" spans="1:16">
      <c r="A61" s="144" t="s">
        <v>30</v>
      </c>
      <c r="B61" s="145"/>
      <c r="C61" s="33">
        <f>$O$58-$O$57</f>
        <v>0</v>
      </c>
      <c r="D61" s="154" t="s">
        <v>131</v>
      </c>
      <c r="E61" s="33">
        <f>$O$27-$O$23</f>
        <v>0</v>
      </c>
      <c r="F61" s="154" t="s">
        <v>132</v>
      </c>
      <c r="G61" s="40">
        <f>$O$28-$O$51</f>
        <v>0</v>
      </c>
      <c r="H61" s="155" t="s">
        <v>133</v>
      </c>
      <c r="I61" s="148" t="e">
        <f>'7年财报'!$C$22/'7年财报'!$C$4</f>
        <v>#DIV/0!</v>
      </c>
      <c r="J61" s="147" t="s">
        <v>134</v>
      </c>
      <c r="K61" s="148" t="e">
        <f>1-'7年财报'!$C$5/'7年财报'!$C$4</f>
        <v>#DIV/0!</v>
      </c>
      <c r="L61" s="151"/>
      <c r="M61" s="151"/>
      <c r="N61" s="151"/>
      <c r="O61" s="151"/>
      <c r="P61" s="153"/>
    </row>
    <row r="62" ht="14.25" spans="1:16">
      <c r="A62" s="153"/>
      <c r="B62" s="153"/>
      <c r="C62" s="153"/>
      <c r="D62" s="156"/>
      <c r="E62" s="153"/>
      <c r="F62" s="153"/>
      <c r="G62" s="153"/>
      <c r="H62" s="157"/>
      <c r="I62" s="158"/>
      <c r="J62" s="150"/>
      <c r="K62" s="158"/>
      <c r="L62" s="153"/>
      <c r="M62" s="153"/>
      <c r="N62" s="153"/>
      <c r="O62" s="153"/>
      <c r="P62" s="153"/>
    </row>
    <row r="63" ht="14.25" spans="1:16">
      <c r="A63" s="153"/>
      <c r="B63" s="153"/>
      <c r="C63" s="153"/>
      <c r="D63" s="156"/>
      <c r="E63" s="153"/>
      <c r="F63" s="153"/>
      <c r="G63" s="153"/>
      <c r="H63" s="157"/>
      <c r="I63" s="158"/>
      <c r="J63" s="150"/>
      <c r="K63" s="158"/>
      <c r="L63" s="153"/>
      <c r="M63" s="153"/>
      <c r="N63" s="153"/>
      <c r="O63" s="153"/>
      <c r="P63" s="153"/>
    </row>
    <row r="64" ht="14.25" spans="1:16">
      <c r="A64" s="153"/>
      <c r="B64" s="153"/>
      <c r="C64" s="153"/>
      <c r="D64" s="156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</row>
    <row r="65" ht="14.25" spans="1:16">
      <c r="A65" s="153"/>
      <c r="B65" s="153"/>
      <c r="C65" s="153"/>
      <c r="D65" s="156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</row>
    <row r="66" ht="14.25" spans="1:16">
      <c r="A66" s="153"/>
      <c r="B66" s="153"/>
      <c r="C66" s="153"/>
      <c r="D66" s="156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</row>
    <row r="67" ht="14.25" spans="1:16">
      <c r="A67" s="153"/>
      <c r="B67" s="153"/>
      <c r="C67" s="153"/>
      <c r="D67" s="156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</row>
    <row r="68" ht="14.25" spans="1:16">
      <c r="A68" s="153"/>
      <c r="B68" s="153"/>
      <c r="C68" s="153"/>
      <c r="D68" s="156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</row>
    <row r="69" ht="14.25" spans="1:16">
      <c r="A69" s="153"/>
      <c r="B69" s="153"/>
      <c r="C69" s="153"/>
      <c r="D69" s="156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</row>
  </sheetData>
  <mergeCells count="265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D59:E59"/>
    <mergeCell ref="G59:H59"/>
    <mergeCell ref="A60:B60"/>
    <mergeCell ref="A61:B61"/>
    <mergeCell ref="A1:A8"/>
    <mergeCell ref="A9:A12"/>
    <mergeCell ref="A13:A18"/>
    <mergeCell ref="A19:A40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"/>
  <sheetViews>
    <sheetView zoomScale="130" zoomScaleNormal="130" workbookViewId="0">
      <selection activeCell="K17" sqref="K17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'7年经营'!O38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'7年经营'!O39</f>
        <v>0</v>
      </c>
      <c r="D5" s="5"/>
      <c r="E5" s="5"/>
      <c r="F5" s="9" t="s">
        <v>8</v>
      </c>
      <c r="G5" s="10">
        <f>'7年经营'!O52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'6年财报'!G6+'7年经营'!E60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'6年财报'!G7+'7年经营'!E61</f>
        <v>3</v>
      </c>
      <c r="H7" s="5"/>
      <c r="I7" s="5"/>
      <c r="J7" s="9" t="s">
        <v>12</v>
      </c>
      <c r="K7" s="10">
        <f>'7年经营'!P10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'6年财报'!G8+'7年经营'!G61</f>
        <v>0</v>
      </c>
      <c r="H8" s="5"/>
      <c r="I8" s="5"/>
      <c r="J8" s="9" t="s">
        <v>14</v>
      </c>
      <c r="K8" s="10">
        <f>'7年经营'!P42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135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'7年经营'!O2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'7年经营'!O51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'7年经营'!C59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'6年财报'!G14+'7年经营'!O38-'7年经营'!O36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'6年财报'!K15</f>
        <v>50</v>
      </c>
      <c r="L15" s="5"/>
    </row>
    <row r="16" s="1" customFormat="1" ht="20.1" customHeight="1" spans="2:12">
      <c r="B16" s="9" t="s">
        <v>27</v>
      </c>
      <c r="C16" s="10">
        <f>'7年经营'!C60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'6年财报'!K16+'6年财报'!K17</f>
        <v>19</v>
      </c>
    </row>
    <row r="17" s="1" customFormat="1" ht="20.1" customHeight="1" spans="2:11">
      <c r="B17" s="9" t="s">
        <v>30</v>
      </c>
      <c r="C17" s="10">
        <f>'7年经营'!C61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4" ht="21.95" customHeight="1" spans="2:11">
      <c r="B24" s="19" t="s">
        <v>136</v>
      </c>
      <c r="C24" s="20"/>
      <c r="D24" s="21" t="s">
        <v>137</v>
      </c>
    </row>
    <row r="25" ht="21.95" customHeight="1" spans="2:11">
      <c r="B25" s="19" t="s">
        <v>138</v>
      </c>
      <c r="C25" s="22"/>
      <c r="D25" s="21"/>
    </row>
    <row r="26" ht="20.1" customHeight="1" spans="2:11">
      <c r="B26" s="19" t="s">
        <v>139</v>
      </c>
      <c r="C26" s="23"/>
      <c r="D26" s="21"/>
    </row>
  </sheetData>
  <mergeCells count="10">
    <mergeCell ref="B2:C2"/>
    <mergeCell ref="F2:K2"/>
    <mergeCell ref="F3:G3"/>
    <mergeCell ref="J3:K3"/>
    <mergeCell ref="F4:G4"/>
    <mergeCell ref="J4:K4"/>
    <mergeCell ref="F11:G11"/>
    <mergeCell ref="J13:K13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69"/>
  <sheetViews>
    <sheetView zoomScale="115" zoomScaleNormal="115" workbookViewId="0">
      <selection activeCell="M1" sqref="M1:N1"/>
    </sheetView>
  </sheetViews>
  <sheetFormatPr defaultColWidth="8.75833333333333" defaultRowHeight="13.5"/>
  <cols>
    <col min="1" max="1" width="4.25833333333333" customWidth="1"/>
    <col min="2" max="2" width="7.625" customWidth="1"/>
    <col min="3" max="3" width="7.5" customWidth="1"/>
    <col min="4" max="4" width="8.75833333333333" style="24" customWidth="1"/>
    <col min="5" max="6" width="10.2583333333333" customWidth="1"/>
    <col min="7" max="14" width="7.125" customWidth="1"/>
    <col min="15" max="15" width="8.625" customWidth="1"/>
  </cols>
  <sheetData>
    <row r="1" ht="18.75" customHeight="1" spans="1:25">
      <c r="A1" s="25" t="s">
        <v>40</v>
      </c>
      <c r="B1" s="26" t="s">
        <v>41</v>
      </c>
      <c r="C1" s="27"/>
      <c r="D1" s="28"/>
      <c r="E1" s="26" t="s">
        <v>42</v>
      </c>
      <c r="F1" s="27"/>
      <c r="G1" s="27"/>
      <c r="H1" s="27"/>
      <c r="I1" s="27"/>
      <c r="J1" s="27"/>
      <c r="K1" s="27"/>
      <c r="L1" s="28"/>
      <c r="M1" s="29" t="str">
        <f>'7年财报'!C21</f>
        <v>0</v>
      </c>
      <c r="N1" s="29"/>
      <c r="O1" s="30" t="s">
        <v>16</v>
      </c>
      <c r="P1" s="30"/>
    </row>
    <row r="2" ht="18" customHeight="1" spans="1:25">
      <c r="A2" s="25"/>
      <c r="B2" s="26" t="s">
        <v>43</v>
      </c>
      <c r="C2" s="27"/>
      <c r="D2" s="28"/>
      <c r="E2" s="26" t="s">
        <v>44</v>
      </c>
      <c r="F2" s="27"/>
      <c r="G2" s="27"/>
      <c r="H2" s="27"/>
      <c r="I2" s="27"/>
      <c r="J2" s="27"/>
      <c r="K2" s="31" t="s">
        <v>45</v>
      </c>
      <c r="L2" s="31"/>
      <c r="M2" s="32"/>
      <c r="N2" s="32"/>
      <c r="O2" s="33">
        <f>P5+O21+O22+O29+O33+O34+O40+O45+O48+O53</f>
        <v>0</v>
      </c>
      <c r="P2" s="34"/>
      <c r="Q2" s="35"/>
      <c r="R2" s="35"/>
      <c r="S2" s="35"/>
      <c r="T2" s="35"/>
      <c r="U2" s="35"/>
      <c r="V2" s="35"/>
      <c r="W2" s="35"/>
      <c r="X2" s="35"/>
      <c r="Y2" s="35"/>
    </row>
    <row r="3" ht="18" customHeight="1" spans="1:25">
      <c r="A3" s="25"/>
      <c r="B3" s="36" t="s">
        <v>46</v>
      </c>
      <c r="C3" s="36"/>
      <c r="D3" s="31" t="s">
        <v>47</v>
      </c>
      <c r="E3" s="31" t="s">
        <v>48</v>
      </c>
      <c r="F3" s="31"/>
      <c r="G3" s="31" t="s">
        <v>49</v>
      </c>
      <c r="H3" s="31"/>
      <c r="I3" s="37" t="s">
        <v>50</v>
      </c>
      <c r="J3" s="38"/>
      <c r="K3" s="31" t="s">
        <v>51</v>
      </c>
      <c r="L3" s="31"/>
      <c r="M3" s="31" t="s">
        <v>52</v>
      </c>
      <c r="N3" s="31"/>
      <c r="O3" s="39" t="s">
        <v>53</v>
      </c>
      <c r="P3" s="39" t="s">
        <v>54</v>
      </c>
      <c r="Q3" s="35"/>
      <c r="R3" s="35"/>
      <c r="S3" s="35"/>
      <c r="T3" s="35"/>
      <c r="U3" s="35"/>
      <c r="V3" s="35"/>
      <c r="W3" s="35"/>
      <c r="X3" s="35"/>
      <c r="Y3" s="35"/>
    </row>
    <row r="4" ht="18" customHeight="1" spans="1:25">
      <c r="A4" s="25"/>
      <c r="B4" s="36"/>
      <c r="C4" s="36"/>
      <c r="D4" s="31"/>
      <c r="E4" s="31" t="s">
        <v>55</v>
      </c>
      <c r="F4" s="31"/>
      <c r="G4" s="31" t="s">
        <v>55</v>
      </c>
      <c r="H4" s="31"/>
      <c r="I4" s="31" t="s">
        <v>55</v>
      </c>
      <c r="J4" s="31"/>
      <c r="K4" s="31" t="s">
        <v>55</v>
      </c>
      <c r="L4" s="31"/>
      <c r="M4" s="31"/>
      <c r="N4" s="31"/>
      <c r="O4" s="39"/>
      <c r="P4" s="39"/>
      <c r="Q4" s="35"/>
      <c r="R4" s="35"/>
      <c r="S4" s="35"/>
      <c r="T4" s="35"/>
      <c r="U4" s="35"/>
      <c r="V4" s="35"/>
      <c r="W4" s="35"/>
      <c r="X4" s="35"/>
      <c r="Y4" s="35"/>
    </row>
    <row r="5" ht="18" customHeight="1" spans="1:25">
      <c r="A5" s="25"/>
      <c r="B5" s="36"/>
      <c r="C5" s="36"/>
      <c r="D5" s="31" t="s">
        <v>56</v>
      </c>
      <c r="E5" s="32"/>
      <c r="F5" s="32"/>
      <c r="G5" s="32"/>
      <c r="H5" s="32"/>
      <c r="I5" s="32"/>
      <c r="J5" s="32"/>
      <c r="K5" s="32"/>
      <c r="L5" s="32"/>
      <c r="M5" s="40">
        <f t="shared" ref="M5:M8" si="0">SUM(E5:L5)</f>
        <v>0</v>
      </c>
      <c r="N5" s="40"/>
      <c r="O5" s="40">
        <f>SUM(M5:N8)</f>
        <v>0</v>
      </c>
      <c r="P5" s="32"/>
      <c r="Q5" s="35"/>
      <c r="R5" s="35"/>
      <c r="S5" s="35"/>
      <c r="T5" s="35"/>
      <c r="U5" s="35"/>
      <c r="V5" s="35"/>
      <c r="W5" s="35"/>
      <c r="X5" s="35"/>
      <c r="Y5" s="35"/>
    </row>
    <row r="6" ht="18" customHeight="1" spans="1:25">
      <c r="A6" s="25"/>
      <c r="B6" s="36"/>
      <c r="C6" s="36"/>
      <c r="D6" s="31" t="s">
        <v>47</v>
      </c>
      <c r="E6" s="32"/>
      <c r="F6" s="32"/>
      <c r="G6" s="32"/>
      <c r="H6" s="32"/>
      <c r="I6" s="32"/>
      <c r="J6" s="32"/>
      <c r="K6" s="32"/>
      <c r="L6" s="32"/>
      <c r="M6" s="40">
        <f t="shared" si="0"/>
        <v>0</v>
      </c>
      <c r="N6" s="40"/>
      <c r="O6" s="40"/>
      <c r="P6" s="32"/>
      <c r="Q6" s="35"/>
      <c r="R6" s="35"/>
      <c r="S6" s="35"/>
      <c r="T6" s="35"/>
      <c r="U6" s="35"/>
      <c r="V6" s="35"/>
      <c r="W6" s="35"/>
      <c r="X6" s="35"/>
      <c r="Y6" s="35"/>
    </row>
    <row r="7" ht="18" customHeight="1" spans="1:25">
      <c r="A7" s="25"/>
      <c r="B7" s="36"/>
      <c r="C7" s="36"/>
      <c r="D7" s="31" t="s">
        <v>57</v>
      </c>
      <c r="E7" s="32"/>
      <c r="F7" s="32"/>
      <c r="G7" s="32"/>
      <c r="H7" s="32"/>
      <c r="I7" s="32"/>
      <c r="J7" s="32"/>
      <c r="K7" s="32"/>
      <c r="L7" s="32"/>
      <c r="M7" s="40">
        <f t="shared" si="0"/>
        <v>0</v>
      </c>
      <c r="N7" s="40"/>
      <c r="O7" s="40"/>
      <c r="P7" s="32"/>
      <c r="Q7" s="24"/>
      <c r="R7" s="35"/>
      <c r="S7" s="35"/>
      <c r="T7" s="35"/>
      <c r="U7" s="35"/>
      <c r="V7" s="35"/>
      <c r="W7" s="35"/>
      <c r="X7" s="35"/>
      <c r="Y7" s="35"/>
    </row>
    <row r="8" ht="18" customHeight="1" spans="1:25">
      <c r="A8" s="25"/>
      <c r="B8" s="36"/>
      <c r="C8" s="36"/>
      <c r="D8" s="31" t="s">
        <v>58</v>
      </c>
      <c r="E8" s="32"/>
      <c r="F8" s="32"/>
      <c r="G8" s="32"/>
      <c r="H8" s="32"/>
      <c r="I8" s="32"/>
      <c r="J8" s="32"/>
      <c r="K8" s="32"/>
      <c r="L8" s="32"/>
      <c r="M8" s="40">
        <f t="shared" si="0"/>
        <v>0</v>
      </c>
      <c r="N8" s="40"/>
      <c r="O8" s="40"/>
      <c r="P8" s="32"/>
      <c r="Q8" s="24"/>
      <c r="R8" s="35"/>
      <c r="S8" s="35"/>
      <c r="T8" s="35"/>
      <c r="U8" s="35"/>
      <c r="V8" s="35"/>
      <c r="W8" s="35"/>
      <c r="X8" s="35"/>
      <c r="Y8" s="35"/>
    </row>
    <row r="9" ht="18" customHeight="1" spans="1:25">
      <c r="A9" s="41" t="s">
        <v>140</v>
      </c>
      <c r="B9" s="36" t="s">
        <v>59</v>
      </c>
      <c r="C9" s="36"/>
      <c r="D9" s="36"/>
      <c r="E9" s="31"/>
      <c r="F9" s="31"/>
      <c r="G9" s="31" t="s">
        <v>60</v>
      </c>
      <c r="H9" s="31" t="s">
        <v>61</v>
      </c>
      <c r="I9" s="31" t="s">
        <v>62</v>
      </c>
      <c r="J9" s="31" t="s">
        <v>63</v>
      </c>
      <c r="K9" s="31" t="s">
        <v>64</v>
      </c>
      <c r="L9" s="31"/>
      <c r="M9" s="31" t="s">
        <v>65</v>
      </c>
      <c r="N9" s="31"/>
      <c r="O9" s="31" t="s">
        <v>66</v>
      </c>
      <c r="P9" s="31" t="s">
        <v>67</v>
      </c>
      <c r="Q9" s="35"/>
      <c r="R9" s="35"/>
      <c r="S9" s="35"/>
      <c r="T9" s="35"/>
      <c r="U9" s="35"/>
      <c r="V9" s="35"/>
      <c r="W9" s="35"/>
      <c r="X9" s="35"/>
      <c r="Y9" s="35"/>
    </row>
    <row r="10" ht="18" customHeight="1" spans="1:25">
      <c r="A10" s="42"/>
      <c r="B10" s="36"/>
      <c r="C10" s="36"/>
      <c r="D10" s="36"/>
      <c r="E10" s="31" t="s">
        <v>68</v>
      </c>
      <c r="F10" s="31"/>
      <c r="G10" s="32"/>
      <c r="H10" s="32"/>
      <c r="I10" s="32"/>
      <c r="J10" s="32"/>
      <c r="K10" s="32"/>
      <c r="L10" s="32"/>
      <c r="M10" s="32"/>
      <c r="N10" s="32"/>
      <c r="O10" s="40">
        <f t="shared" ref="O10:O12" si="1">SUM(G10:N10)</f>
        <v>0</v>
      </c>
      <c r="P10" s="43">
        <f>'7年财报'!K7+O12-O10</f>
        <v>20</v>
      </c>
      <c r="Q10" s="35"/>
      <c r="R10" s="35"/>
      <c r="S10" s="35"/>
      <c r="T10" s="35"/>
      <c r="U10" s="35"/>
      <c r="V10" s="35"/>
      <c r="W10" s="35"/>
      <c r="X10" s="35"/>
      <c r="Y10" s="35"/>
    </row>
    <row r="11" ht="18" customHeight="1" spans="1:25">
      <c r="A11" s="42"/>
      <c r="B11" s="36"/>
      <c r="C11" s="36"/>
      <c r="D11" s="36"/>
      <c r="E11" s="31" t="s">
        <v>69</v>
      </c>
      <c r="F11" s="31"/>
      <c r="G11" s="32"/>
      <c r="H11" s="32"/>
      <c r="I11" s="32"/>
      <c r="J11" s="32"/>
      <c r="K11" s="32"/>
      <c r="L11" s="32"/>
      <c r="M11" s="32"/>
      <c r="N11" s="32"/>
      <c r="O11" s="40">
        <f t="shared" si="1"/>
        <v>0</v>
      </c>
      <c r="P11" s="44"/>
      <c r="Q11" s="35"/>
      <c r="R11" s="35"/>
      <c r="S11" s="35"/>
      <c r="T11" s="35"/>
      <c r="U11" s="35"/>
      <c r="V11" s="35"/>
      <c r="W11" s="35"/>
      <c r="X11" s="35"/>
      <c r="Y11" s="35"/>
    </row>
    <row r="12" ht="18" customHeight="1" spans="1:25">
      <c r="A12" s="45"/>
      <c r="B12" s="36"/>
      <c r="C12" s="36"/>
      <c r="D12" s="36"/>
      <c r="E12" s="31" t="s">
        <v>70</v>
      </c>
      <c r="F12" s="31"/>
      <c r="G12" s="32"/>
      <c r="H12" s="32"/>
      <c r="I12" s="32"/>
      <c r="J12" s="32"/>
      <c r="K12" s="32"/>
      <c r="L12" s="32"/>
      <c r="M12" s="32"/>
      <c r="N12" s="32"/>
      <c r="O12" s="40">
        <f t="shared" si="1"/>
        <v>0</v>
      </c>
      <c r="P12" s="46"/>
      <c r="Q12" s="35"/>
      <c r="R12" s="35"/>
      <c r="S12" s="35"/>
      <c r="T12" s="35"/>
      <c r="U12" s="35"/>
      <c r="V12" s="35"/>
      <c r="W12" s="35"/>
      <c r="X12" s="35"/>
      <c r="Y12" s="35"/>
    </row>
    <row r="13" ht="18" customHeight="1" spans="1:25">
      <c r="A13" s="47" t="s">
        <v>71</v>
      </c>
      <c r="B13" s="48" t="s">
        <v>72</v>
      </c>
      <c r="C13" s="49"/>
      <c r="D13" s="50"/>
      <c r="E13" s="37"/>
      <c r="F13" s="38"/>
      <c r="G13" s="31" t="s">
        <v>60</v>
      </c>
      <c r="H13" s="31" t="s">
        <v>61</v>
      </c>
      <c r="I13" s="31" t="s">
        <v>62</v>
      </c>
      <c r="J13" s="31" t="s">
        <v>63</v>
      </c>
      <c r="K13" s="31" t="s">
        <v>64</v>
      </c>
      <c r="L13" s="31"/>
      <c r="M13" s="31" t="s">
        <v>65</v>
      </c>
      <c r="N13" s="31"/>
      <c r="O13" s="31" t="s">
        <v>66</v>
      </c>
      <c r="P13" s="31"/>
      <c r="Q13" s="35"/>
      <c r="R13" s="35"/>
      <c r="S13" s="35"/>
      <c r="T13" s="35"/>
      <c r="U13" s="35"/>
      <c r="V13" s="35"/>
      <c r="W13" s="35"/>
      <c r="X13" s="35"/>
      <c r="Y13" s="35"/>
    </row>
    <row r="14" ht="18" customHeight="1" spans="1:25">
      <c r="A14" s="51"/>
      <c r="B14" s="52"/>
      <c r="C14" s="53"/>
      <c r="D14" s="54"/>
      <c r="E14" s="37" t="s">
        <v>48</v>
      </c>
      <c r="F14" s="38"/>
      <c r="G14" s="32"/>
      <c r="H14" s="32"/>
      <c r="I14" s="32"/>
      <c r="J14" s="32"/>
      <c r="K14" s="32"/>
      <c r="L14" s="32"/>
      <c r="M14" s="32"/>
      <c r="N14" s="32"/>
      <c r="O14" s="33">
        <f t="shared" ref="O14:O18" si="2">G14+I14+K14+M14</f>
        <v>0</v>
      </c>
      <c r="P14" s="34"/>
      <c r="Q14" s="35"/>
      <c r="R14" s="35"/>
      <c r="S14" s="35"/>
      <c r="T14" s="35"/>
      <c r="U14" s="35"/>
      <c r="V14" s="35"/>
      <c r="W14" s="35"/>
      <c r="X14" s="35"/>
      <c r="Y14" s="35"/>
    </row>
    <row r="15" ht="18" customHeight="1" spans="1:25">
      <c r="A15" s="51"/>
      <c r="B15" s="52"/>
      <c r="C15" s="53"/>
      <c r="D15" s="54"/>
      <c r="E15" s="37" t="s">
        <v>49</v>
      </c>
      <c r="F15" s="38"/>
      <c r="G15" s="32"/>
      <c r="H15" s="32"/>
      <c r="I15" s="32"/>
      <c r="J15" s="32"/>
      <c r="K15" s="32"/>
      <c r="L15" s="32"/>
      <c r="M15" s="32"/>
      <c r="N15" s="32"/>
      <c r="O15" s="33">
        <f t="shared" si="2"/>
        <v>0</v>
      </c>
      <c r="P15" s="34"/>
      <c r="Q15" s="35"/>
      <c r="R15" s="35"/>
      <c r="S15" s="35"/>
      <c r="T15" s="35"/>
      <c r="U15" s="35"/>
      <c r="V15" s="35"/>
      <c r="W15" s="35"/>
      <c r="X15" s="35"/>
      <c r="Y15" s="35"/>
    </row>
    <row r="16" ht="18" customHeight="1" spans="1:25">
      <c r="A16" s="51"/>
      <c r="B16" s="52"/>
      <c r="C16" s="53"/>
      <c r="D16" s="54"/>
      <c r="E16" s="37" t="s">
        <v>50</v>
      </c>
      <c r="F16" s="38"/>
      <c r="G16" s="32"/>
      <c r="H16" s="32"/>
      <c r="I16" s="32"/>
      <c r="J16" s="32"/>
      <c r="K16" s="32"/>
      <c r="L16" s="32"/>
      <c r="M16" s="32"/>
      <c r="N16" s="32"/>
      <c r="O16" s="33">
        <f t="shared" si="2"/>
        <v>0</v>
      </c>
      <c r="P16" s="34"/>
      <c r="Q16" s="35"/>
      <c r="R16" s="35"/>
      <c r="S16" s="35"/>
      <c r="T16" s="35"/>
      <c r="U16" s="35"/>
      <c r="V16" s="35"/>
      <c r="W16" s="35"/>
      <c r="X16" s="35"/>
      <c r="Y16" s="35"/>
    </row>
    <row r="17" ht="18" customHeight="1" spans="1:25">
      <c r="A17" s="51"/>
      <c r="B17" s="52"/>
      <c r="C17" s="53"/>
      <c r="D17" s="54"/>
      <c r="E17" s="37" t="s">
        <v>51</v>
      </c>
      <c r="F17" s="38"/>
      <c r="G17" s="32"/>
      <c r="H17" s="32"/>
      <c r="I17" s="32"/>
      <c r="J17" s="32"/>
      <c r="K17" s="32"/>
      <c r="L17" s="32"/>
      <c r="M17" s="32"/>
      <c r="N17" s="32"/>
      <c r="O17" s="33">
        <f t="shared" si="2"/>
        <v>0</v>
      </c>
      <c r="P17" s="34"/>
      <c r="Q17" s="35"/>
      <c r="R17" s="35"/>
      <c r="S17" s="35"/>
      <c r="T17" s="35"/>
      <c r="U17" s="35"/>
      <c r="V17" s="35"/>
      <c r="W17" s="35"/>
      <c r="X17" s="35"/>
      <c r="Y17" s="35"/>
    </row>
    <row r="18" ht="18" customHeight="1" spans="1:25">
      <c r="A18" s="55"/>
      <c r="B18" s="56"/>
      <c r="C18" s="57"/>
      <c r="D18" s="58"/>
      <c r="E18" s="37" t="s">
        <v>73</v>
      </c>
      <c r="F18" s="38"/>
      <c r="G18" s="33">
        <f t="shared" ref="G18:K18" si="3">G14+G15+G16+G17</f>
        <v>0</v>
      </c>
      <c r="H18" s="34">
        <f>SUM(H14:H17)</f>
        <v>0</v>
      </c>
      <c r="I18" s="33">
        <f t="shared" si="3"/>
        <v>0</v>
      </c>
      <c r="J18" s="34"/>
      <c r="K18" s="33">
        <f t="shared" si="3"/>
        <v>0</v>
      </c>
      <c r="L18" s="34"/>
      <c r="M18" s="33">
        <f>M14+M15+M16+M17</f>
        <v>0</v>
      </c>
      <c r="N18" s="34"/>
      <c r="O18" s="33">
        <f t="shared" si="2"/>
        <v>0</v>
      </c>
      <c r="P18" s="34"/>
      <c r="Q18" s="35"/>
      <c r="R18" s="35"/>
      <c r="S18" s="35"/>
      <c r="T18" s="35"/>
      <c r="U18" s="35"/>
      <c r="V18" s="35"/>
      <c r="W18" s="35"/>
      <c r="X18" s="35"/>
      <c r="Y18" s="35"/>
    </row>
    <row r="19" ht="21" customHeight="1" spans="1:25">
      <c r="A19" s="41" t="s">
        <v>71</v>
      </c>
      <c r="B19" s="59" t="s">
        <v>74</v>
      </c>
      <c r="C19" s="60"/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1"/>
      <c r="Q19" s="35"/>
      <c r="R19" s="35"/>
      <c r="S19" s="35"/>
      <c r="T19" s="35"/>
      <c r="U19" s="35"/>
      <c r="V19" s="35"/>
      <c r="W19" s="35"/>
      <c r="X19" s="35"/>
      <c r="Y19" s="35"/>
    </row>
    <row r="20" ht="21" customHeight="1" spans="1:25">
      <c r="A20" s="42"/>
      <c r="B20" s="62" t="s">
        <v>75</v>
      </c>
      <c r="C20" s="62"/>
      <c r="D20" s="62"/>
      <c r="E20" s="63"/>
      <c r="F20" s="64"/>
      <c r="G20" s="65" t="s">
        <v>60</v>
      </c>
      <c r="H20" s="65" t="s">
        <v>61</v>
      </c>
      <c r="I20" s="65" t="s">
        <v>62</v>
      </c>
      <c r="J20" s="65" t="s">
        <v>63</v>
      </c>
      <c r="K20" s="65" t="s">
        <v>64</v>
      </c>
      <c r="L20" s="65"/>
      <c r="M20" s="65" t="s">
        <v>65</v>
      </c>
      <c r="N20" s="65"/>
      <c r="O20" s="65" t="s">
        <v>66</v>
      </c>
      <c r="P20" s="65"/>
      <c r="Q20" s="35"/>
      <c r="R20" s="35"/>
      <c r="S20" s="35"/>
      <c r="T20" s="35"/>
      <c r="U20" s="35"/>
      <c r="V20" s="35"/>
      <c r="W20" s="35"/>
      <c r="X20" s="35"/>
      <c r="Y20" s="35"/>
    </row>
    <row r="21" ht="21" customHeight="1" spans="1:25">
      <c r="A21" s="42"/>
      <c r="B21" s="36"/>
      <c r="C21" s="36"/>
      <c r="D21" s="36"/>
      <c r="E21" s="36" t="s">
        <v>76</v>
      </c>
      <c r="F21" s="36"/>
      <c r="G21" s="32"/>
      <c r="H21" s="32"/>
      <c r="I21" s="32"/>
      <c r="J21" s="32"/>
      <c r="K21" s="32"/>
      <c r="L21" s="32"/>
      <c r="M21" s="32"/>
      <c r="N21" s="32"/>
      <c r="O21" s="40">
        <f>SUM(G21:N21)</f>
        <v>0</v>
      </c>
      <c r="P21" s="40"/>
      <c r="Q21" s="35"/>
      <c r="R21" s="35"/>
      <c r="S21" s="35"/>
      <c r="T21" s="35"/>
      <c r="U21" s="35"/>
      <c r="V21" s="35"/>
      <c r="W21" s="35"/>
      <c r="X21" s="35"/>
      <c r="Y21" s="35"/>
    </row>
    <row r="22" ht="21" customHeight="1" spans="1:25">
      <c r="A22" s="42"/>
      <c r="B22" s="36"/>
      <c r="C22" s="36"/>
      <c r="D22" s="36"/>
      <c r="E22" s="36" t="s">
        <v>77</v>
      </c>
      <c r="F22" s="36"/>
      <c r="G22" s="32"/>
      <c r="H22" s="32"/>
      <c r="I22" s="32"/>
      <c r="J22" s="32"/>
      <c r="K22" s="32"/>
      <c r="L22" s="32"/>
      <c r="M22" s="32"/>
      <c r="N22" s="32"/>
      <c r="O22" s="40">
        <f>G22+I22+K22+M22</f>
        <v>0</v>
      </c>
      <c r="P22" s="40"/>
      <c r="Q22" s="35"/>
      <c r="R22" s="35"/>
      <c r="S22" s="35"/>
      <c r="T22" s="35"/>
      <c r="U22" s="35"/>
      <c r="V22" s="35"/>
      <c r="W22" s="35"/>
      <c r="X22" s="35"/>
      <c r="Y22" s="35"/>
    </row>
    <row r="23" ht="21" customHeight="1" spans="1:25">
      <c r="A23" s="42"/>
      <c r="B23" s="36"/>
      <c r="C23" s="36"/>
      <c r="D23" s="36"/>
      <c r="E23" s="48" t="s">
        <v>78</v>
      </c>
      <c r="F23" s="50"/>
      <c r="G23" s="66"/>
      <c r="H23" s="67"/>
      <c r="I23" s="68"/>
      <c r="J23" s="69"/>
      <c r="K23" s="68"/>
      <c r="L23" s="69"/>
      <c r="M23" s="68"/>
      <c r="N23" s="69"/>
      <c r="O23" s="70">
        <f>SUM(G23:N25)</f>
        <v>0</v>
      </c>
      <c r="P23" s="71"/>
      <c r="Q23" s="35"/>
      <c r="R23" s="35"/>
      <c r="S23" s="35"/>
      <c r="T23" s="35"/>
      <c r="U23" s="35"/>
      <c r="V23" s="35"/>
      <c r="W23" s="35"/>
      <c r="X23" s="35"/>
      <c r="Y23" s="35"/>
    </row>
    <row r="24" ht="21" customHeight="1" spans="1:25">
      <c r="A24" s="42"/>
      <c r="B24" s="36"/>
      <c r="C24" s="36"/>
      <c r="D24" s="36"/>
      <c r="E24" s="52"/>
      <c r="F24" s="54"/>
      <c r="G24" s="72"/>
      <c r="H24" s="73"/>
      <c r="I24" s="74"/>
      <c r="J24" s="75"/>
      <c r="K24" s="74"/>
      <c r="L24" s="75"/>
      <c r="M24" s="74"/>
      <c r="N24" s="75"/>
      <c r="O24" s="76"/>
      <c r="P24" s="77"/>
      <c r="Q24" s="35"/>
      <c r="R24" s="35"/>
      <c r="S24" s="35"/>
      <c r="T24" s="35"/>
      <c r="U24" s="35"/>
      <c r="V24" s="35"/>
      <c r="W24" s="35"/>
      <c r="X24" s="35"/>
      <c r="Y24" s="35"/>
    </row>
    <row r="25" ht="21" customHeight="1" spans="1:25">
      <c r="A25" s="42"/>
      <c r="B25" s="36"/>
      <c r="C25" s="36"/>
      <c r="D25" s="36"/>
      <c r="E25" s="56"/>
      <c r="F25" s="58"/>
      <c r="G25" s="78"/>
      <c r="H25" s="79"/>
      <c r="I25" s="80"/>
      <c r="J25" s="81"/>
      <c r="K25" s="80"/>
      <c r="L25" s="81"/>
      <c r="M25" s="80"/>
      <c r="N25" s="81"/>
      <c r="O25" s="82"/>
      <c r="P25" s="83"/>
    </row>
    <row r="26" ht="18.75" customHeight="1" spans="1:25">
      <c r="A26" s="42"/>
      <c r="B26" s="36"/>
      <c r="C26" s="36"/>
      <c r="D26" s="36"/>
      <c r="E26" s="84" t="s">
        <v>79</v>
      </c>
      <c r="F26" s="84"/>
      <c r="G26" s="32"/>
      <c r="H26" s="32"/>
      <c r="I26" s="32"/>
      <c r="J26" s="32"/>
      <c r="K26" s="32"/>
      <c r="L26" s="32"/>
      <c r="M26" s="32"/>
      <c r="N26" s="32"/>
      <c r="O26" s="40">
        <f t="shared" ref="O26:O28" si="4">SUM(G26:N26)</f>
        <v>0</v>
      </c>
      <c r="P26" s="40"/>
    </row>
    <row r="27" ht="18.75" customHeight="1" spans="1:25">
      <c r="A27" s="42"/>
      <c r="B27" s="36"/>
      <c r="C27" s="36"/>
      <c r="D27" s="36"/>
      <c r="E27" s="85" t="s">
        <v>80</v>
      </c>
      <c r="F27" s="86" t="s">
        <v>11</v>
      </c>
      <c r="G27" s="32"/>
      <c r="H27" s="32"/>
      <c r="I27" s="32"/>
      <c r="J27" s="32"/>
      <c r="K27" s="32"/>
      <c r="L27" s="32"/>
      <c r="M27" s="32"/>
      <c r="N27" s="32"/>
      <c r="O27" s="40">
        <f t="shared" si="4"/>
        <v>0</v>
      </c>
      <c r="P27" s="40"/>
    </row>
    <row r="28" ht="18.75" spans="1:25">
      <c r="A28" s="42"/>
      <c r="B28" s="36"/>
      <c r="C28" s="36"/>
      <c r="D28" s="36"/>
      <c r="E28" s="87"/>
      <c r="F28" s="86" t="s">
        <v>13</v>
      </c>
      <c r="G28" s="32"/>
      <c r="H28" s="32"/>
      <c r="I28" s="32"/>
      <c r="J28" s="32"/>
      <c r="K28" s="32"/>
      <c r="L28" s="32"/>
      <c r="M28" s="32"/>
      <c r="N28" s="32"/>
      <c r="O28" s="40">
        <f t="shared" si="4"/>
        <v>0</v>
      </c>
      <c r="P28" s="40"/>
    </row>
    <row r="29" ht="17.45" customHeight="1" spans="1:25">
      <c r="A29" s="42"/>
      <c r="B29" s="36" t="s">
        <v>81</v>
      </c>
      <c r="C29" s="36"/>
      <c r="D29" s="36"/>
      <c r="E29" s="88" t="s">
        <v>82</v>
      </c>
      <c r="F29" s="89"/>
      <c r="G29" s="32"/>
      <c r="H29" s="32"/>
      <c r="I29" s="32"/>
      <c r="J29" s="32"/>
      <c r="K29" s="32"/>
      <c r="L29" s="32"/>
      <c r="M29" s="32"/>
      <c r="N29" s="32"/>
      <c r="O29" s="40">
        <f>SUM(G29:N30)</f>
        <v>0</v>
      </c>
      <c r="P29" s="40"/>
    </row>
    <row r="30" ht="17.45" customHeight="1" spans="1:25">
      <c r="A30" s="42"/>
      <c r="B30" s="36"/>
      <c r="C30" s="36"/>
      <c r="D30" s="36"/>
      <c r="E30" s="89"/>
      <c r="F30" s="89"/>
      <c r="G30" s="32"/>
      <c r="H30" s="32"/>
      <c r="I30" s="32"/>
      <c r="J30" s="32"/>
      <c r="K30" s="32"/>
      <c r="L30" s="32"/>
      <c r="M30" s="32"/>
      <c r="N30" s="32"/>
      <c r="O30" s="40"/>
      <c r="P30" s="40"/>
    </row>
    <row r="31" ht="17.45" customHeight="1" spans="1:25">
      <c r="A31" s="42"/>
      <c r="B31" s="89" t="s">
        <v>83</v>
      </c>
      <c r="C31" s="89"/>
      <c r="D31" s="89"/>
      <c r="E31" s="89" t="s">
        <v>84</v>
      </c>
      <c r="F31" s="36"/>
      <c r="G31" s="32"/>
      <c r="H31" s="32"/>
      <c r="I31" s="32"/>
      <c r="J31" s="32"/>
      <c r="K31" s="32"/>
      <c r="L31" s="32"/>
      <c r="M31" s="32"/>
      <c r="N31" s="32"/>
      <c r="O31" s="40">
        <f>SUM(G31:N32)</f>
        <v>0</v>
      </c>
      <c r="P31" s="40"/>
    </row>
    <row r="32" ht="17.45" customHeight="1" spans="1:25">
      <c r="A32" s="42"/>
      <c r="B32" s="89"/>
      <c r="C32" s="89"/>
      <c r="D32" s="89"/>
      <c r="E32" s="36"/>
      <c r="F32" s="36"/>
      <c r="G32" s="32"/>
      <c r="H32" s="32"/>
      <c r="I32" s="32"/>
      <c r="J32" s="32"/>
      <c r="K32" s="32"/>
      <c r="L32" s="32"/>
      <c r="M32" s="32"/>
      <c r="N32" s="32"/>
      <c r="O32" s="40"/>
      <c r="P32" s="40"/>
    </row>
    <row r="33" ht="18.75" spans="1:16">
      <c r="A33" s="42"/>
      <c r="B33" s="90" t="s">
        <v>85</v>
      </c>
      <c r="C33" s="90"/>
      <c r="D33" s="90"/>
      <c r="E33" s="90" t="s">
        <v>86</v>
      </c>
      <c r="F33" s="90"/>
      <c r="G33" s="32"/>
      <c r="H33" s="32"/>
      <c r="I33" s="32"/>
      <c r="J33" s="32"/>
      <c r="K33" s="32"/>
      <c r="L33" s="32"/>
      <c r="M33" s="32"/>
      <c r="N33" s="32"/>
      <c r="O33" s="40">
        <f t="shared" ref="O33:O40" si="5">SUM(G33:N33)</f>
        <v>0</v>
      </c>
      <c r="P33" s="40"/>
    </row>
    <row r="34" ht="18.75" spans="1:16">
      <c r="A34" s="42"/>
      <c r="B34" s="90" t="s">
        <v>87</v>
      </c>
      <c r="C34" s="90"/>
      <c r="D34" s="90"/>
      <c r="E34" s="91" t="s">
        <v>88</v>
      </c>
      <c r="F34" s="90"/>
      <c r="G34" s="32"/>
      <c r="H34" s="32"/>
      <c r="I34" s="32"/>
      <c r="J34" s="32"/>
      <c r="K34" s="32"/>
      <c r="L34" s="32"/>
      <c r="M34" s="32"/>
      <c r="N34" s="32"/>
      <c r="O34" s="40">
        <f t="shared" si="5"/>
        <v>0</v>
      </c>
      <c r="P34" s="40"/>
    </row>
    <row r="35" ht="18.75" spans="1:16">
      <c r="A35" s="42"/>
      <c r="B35" s="90" t="s">
        <v>89</v>
      </c>
      <c r="C35" s="90"/>
      <c r="D35" s="90"/>
      <c r="E35" s="90"/>
      <c r="F35" s="90"/>
      <c r="G35" s="90"/>
      <c r="H35" s="90"/>
      <c r="I35" s="90"/>
      <c r="J35" s="90"/>
      <c r="K35" s="90"/>
      <c r="L35" s="90"/>
      <c r="M35" s="90"/>
      <c r="N35" s="90"/>
      <c r="O35" s="90"/>
      <c r="P35" s="90"/>
    </row>
    <row r="36" ht="17.45" customHeight="1" spans="1:16">
      <c r="A36" s="42"/>
      <c r="B36" s="92" t="s">
        <v>90</v>
      </c>
      <c r="C36" s="93"/>
      <c r="D36" s="93"/>
      <c r="E36" s="89" t="s">
        <v>91</v>
      </c>
      <c r="F36" s="89"/>
      <c r="G36" s="32"/>
      <c r="H36" s="32"/>
      <c r="I36" s="32"/>
      <c r="J36" s="32"/>
      <c r="K36" s="32"/>
      <c r="L36" s="32"/>
      <c r="M36" s="32"/>
      <c r="N36" s="32"/>
      <c r="O36" s="40">
        <f>SUM(G36:N37)</f>
        <v>0</v>
      </c>
      <c r="P36" s="40"/>
    </row>
    <row r="37" ht="17.45" customHeight="1" spans="1:16">
      <c r="A37" s="42"/>
      <c r="B37" s="93"/>
      <c r="C37" s="93"/>
      <c r="D37" s="93"/>
      <c r="E37" s="89"/>
      <c r="F37" s="89"/>
      <c r="G37" s="32"/>
      <c r="H37" s="32"/>
      <c r="I37" s="32"/>
      <c r="J37" s="32"/>
      <c r="K37" s="32"/>
      <c r="L37" s="32"/>
      <c r="M37" s="32"/>
      <c r="N37" s="32"/>
      <c r="O37" s="40"/>
      <c r="P37" s="40"/>
    </row>
    <row r="38" ht="18.75" customHeight="1" spans="1:16">
      <c r="A38" s="42"/>
      <c r="B38" s="36" t="s">
        <v>92</v>
      </c>
      <c r="C38" s="90"/>
      <c r="D38" s="90"/>
      <c r="E38" s="94" t="s">
        <v>93</v>
      </c>
      <c r="F38" s="95"/>
      <c r="G38" s="96"/>
      <c r="H38" s="97"/>
      <c r="I38" s="96"/>
      <c r="J38" s="97"/>
      <c r="K38" s="96"/>
      <c r="L38" s="97"/>
      <c r="M38" s="96"/>
      <c r="N38" s="97"/>
      <c r="O38" s="40">
        <f t="shared" si="5"/>
        <v>0</v>
      </c>
      <c r="P38" s="40"/>
    </row>
    <row r="39" ht="18.75" customHeight="1" spans="1:16">
      <c r="A39" s="42"/>
      <c r="B39" s="90"/>
      <c r="C39" s="90"/>
      <c r="D39" s="90"/>
      <c r="E39" s="94" t="s">
        <v>94</v>
      </c>
      <c r="F39" s="95"/>
      <c r="G39" s="96"/>
      <c r="H39" s="97"/>
      <c r="I39" s="96"/>
      <c r="J39" s="97"/>
      <c r="K39" s="96"/>
      <c r="L39" s="97"/>
      <c r="M39" s="96"/>
      <c r="N39" s="97"/>
      <c r="O39" s="40">
        <f t="shared" si="5"/>
        <v>0</v>
      </c>
      <c r="P39" s="40"/>
    </row>
    <row r="40" ht="18.75" spans="1:16">
      <c r="A40" s="45"/>
      <c r="B40" s="93" t="s">
        <v>95</v>
      </c>
      <c r="C40" s="93"/>
      <c r="D40" s="93"/>
      <c r="E40" s="98" t="s">
        <v>96</v>
      </c>
      <c r="F40" s="98"/>
      <c r="G40" s="32"/>
      <c r="H40" s="32"/>
      <c r="I40" s="32"/>
      <c r="J40" s="32"/>
      <c r="K40" s="32"/>
      <c r="L40" s="32"/>
      <c r="M40" s="32"/>
      <c r="N40" s="32"/>
      <c r="O40" s="40">
        <f t="shared" si="5"/>
        <v>0</v>
      </c>
      <c r="P40" s="40"/>
    </row>
    <row r="41" ht="18" customHeight="1" spans="1:16">
      <c r="A41" s="99"/>
      <c r="B41" s="99"/>
      <c r="C41" s="99"/>
      <c r="D41" s="99"/>
      <c r="E41" s="99"/>
      <c r="F41" s="99"/>
      <c r="G41" s="99"/>
      <c r="H41" s="99"/>
      <c r="I41" s="99"/>
      <c r="J41" s="99"/>
      <c r="K41" s="99"/>
      <c r="L41" s="99"/>
      <c r="M41" s="99"/>
      <c r="N41" s="99"/>
      <c r="O41" s="65" t="s">
        <v>66</v>
      </c>
      <c r="P41" s="65" t="s">
        <v>67</v>
      </c>
    </row>
    <row r="42" ht="18.75" customHeight="1" spans="1:16">
      <c r="A42" s="100" t="s">
        <v>97</v>
      </c>
      <c r="B42" s="36" t="s">
        <v>98</v>
      </c>
      <c r="C42" s="36"/>
      <c r="D42" s="36"/>
      <c r="E42" s="101" t="s">
        <v>69</v>
      </c>
      <c r="F42" s="90"/>
      <c r="G42" s="102" t="s">
        <v>99</v>
      </c>
      <c r="H42" s="102"/>
      <c r="I42" s="102"/>
      <c r="J42" s="102"/>
      <c r="K42" s="102"/>
      <c r="L42" s="102"/>
      <c r="M42" s="102"/>
      <c r="N42" s="102"/>
      <c r="O42" s="103"/>
      <c r="P42" s="43">
        <f>'7年财报'!K8+O44-O43</f>
        <v>0</v>
      </c>
    </row>
    <row r="43" ht="18.75" customHeight="1" spans="1:16">
      <c r="A43" s="104"/>
      <c r="B43" s="36"/>
      <c r="C43" s="36"/>
      <c r="D43" s="36"/>
      <c r="E43" s="101" t="s">
        <v>100</v>
      </c>
      <c r="F43" s="90"/>
      <c r="G43" s="102" t="s">
        <v>101</v>
      </c>
      <c r="H43" s="102"/>
      <c r="I43" s="102"/>
      <c r="J43" s="102"/>
      <c r="K43" s="102"/>
      <c r="L43" s="102"/>
      <c r="M43" s="102"/>
      <c r="N43" s="102"/>
      <c r="O43" s="103"/>
      <c r="P43" s="44"/>
    </row>
    <row r="44" ht="18.75" customHeight="1" spans="1:16">
      <c r="A44" s="104"/>
      <c r="B44" s="36"/>
      <c r="C44" s="36"/>
      <c r="D44" s="36"/>
      <c r="E44" s="101" t="s">
        <v>102</v>
      </c>
      <c r="F44" s="90"/>
      <c r="G44" s="102" t="s">
        <v>101</v>
      </c>
      <c r="H44" s="102"/>
      <c r="I44" s="102"/>
      <c r="J44" s="102"/>
      <c r="K44" s="102"/>
      <c r="L44" s="102"/>
      <c r="M44" s="102"/>
      <c r="N44" s="102"/>
      <c r="O44" s="103"/>
      <c r="P44" s="46"/>
    </row>
    <row r="45" ht="18.75" customHeight="1" spans="1:16">
      <c r="A45" s="104"/>
      <c r="B45" s="105" t="s">
        <v>141</v>
      </c>
      <c r="C45" s="105"/>
      <c r="D45" s="105"/>
      <c r="E45" s="105"/>
      <c r="F45" s="106"/>
      <c r="G45" s="102" t="s">
        <v>101</v>
      </c>
      <c r="H45" s="102"/>
      <c r="I45" s="102"/>
      <c r="J45" s="102"/>
      <c r="K45" s="102"/>
      <c r="L45" s="102"/>
      <c r="M45" s="102"/>
      <c r="N45" s="102"/>
      <c r="O45" s="32"/>
      <c r="P45" s="32"/>
    </row>
    <row r="46" ht="18.75" customHeight="1" spans="1:16">
      <c r="A46" s="104"/>
      <c r="B46" s="107" t="s">
        <v>142</v>
      </c>
      <c r="C46" s="108"/>
      <c r="D46" s="109"/>
      <c r="E46" s="110" t="s">
        <v>105</v>
      </c>
      <c r="F46" s="111"/>
      <c r="G46" s="112" t="s">
        <v>143</v>
      </c>
      <c r="H46" s="113"/>
      <c r="I46" s="113"/>
      <c r="J46" s="113"/>
      <c r="K46" s="113"/>
      <c r="L46" s="113"/>
      <c r="M46" s="113"/>
      <c r="N46" s="114"/>
      <c r="O46" s="32"/>
      <c r="P46" s="32"/>
    </row>
    <row r="47" ht="18.75" spans="1:16">
      <c r="A47" s="104"/>
      <c r="B47" s="106"/>
      <c r="C47" s="115"/>
      <c r="D47" s="116"/>
      <c r="E47" s="110" t="s">
        <v>107</v>
      </c>
      <c r="F47" s="111"/>
      <c r="G47" s="117"/>
      <c r="H47" s="118"/>
      <c r="I47" s="118"/>
      <c r="J47" s="118"/>
      <c r="K47" s="118"/>
      <c r="L47" s="118"/>
      <c r="M47" s="118"/>
      <c r="N47" s="119"/>
      <c r="O47" s="120"/>
      <c r="P47" s="121"/>
    </row>
    <row r="48" ht="18.75" customHeight="1" spans="1:16">
      <c r="A48" s="104"/>
      <c r="B48" s="90" t="s">
        <v>144</v>
      </c>
      <c r="C48" s="90"/>
      <c r="D48" s="90"/>
      <c r="E48" s="90"/>
      <c r="F48" s="122"/>
      <c r="G48" s="123" t="s">
        <v>145</v>
      </c>
      <c r="H48" s="123"/>
      <c r="I48" s="123"/>
      <c r="J48" s="123"/>
      <c r="K48" s="123"/>
      <c r="L48" s="123"/>
      <c r="M48" s="123"/>
      <c r="N48" s="123"/>
      <c r="O48" s="32"/>
      <c r="P48" s="32"/>
    </row>
    <row r="49" ht="18.75" spans="1:16">
      <c r="A49" s="104"/>
      <c r="B49" s="107" t="s">
        <v>110</v>
      </c>
      <c r="C49" s="108"/>
      <c r="D49" s="108"/>
      <c r="E49" s="108"/>
      <c r="F49" s="108"/>
      <c r="G49" s="124"/>
      <c r="H49" s="102"/>
      <c r="I49" s="102"/>
      <c r="J49" s="102"/>
      <c r="K49" s="102"/>
      <c r="L49" s="102"/>
      <c r="M49" s="102"/>
      <c r="N49" s="102"/>
      <c r="O49" s="29">
        <f>'7年财报'!G7+O27-O23</f>
        <v>3</v>
      </c>
      <c r="P49" s="29"/>
    </row>
    <row r="50" ht="18.75" customHeight="1" spans="1:16">
      <c r="A50" s="104"/>
      <c r="B50" s="36" t="s">
        <v>111</v>
      </c>
      <c r="C50" s="36"/>
      <c r="D50" s="36"/>
      <c r="E50" s="36" t="s">
        <v>112</v>
      </c>
      <c r="F50" s="36"/>
      <c r="G50" s="36"/>
      <c r="H50" s="36"/>
      <c r="I50" s="36"/>
      <c r="J50" s="36"/>
      <c r="K50" s="36"/>
      <c r="L50" s="36"/>
      <c r="M50" s="36"/>
      <c r="N50" s="36"/>
      <c r="O50" s="29">
        <f>'7年财报'!G8+O28</f>
        <v>0</v>
      </c>
      <c r="P50" s="29"/>
    </row>
    <row r="51" ht="18.75" customHeight="1" spans="1:16">
      <c r="A51" s="104"/>
      <c r="B51" s="36"/>
      <c r="C51" s="36"/>
      <c r="D51" s="36"/>
      <c r="E51" s="36" t="s">
        <v>113</v>
      </c>
      <c r="F51" s="36"/>
      <c r="G51" s="36"/>
      <c r="H51" s="36"/>
      <c r="I51" s="36"/>
      <c r="J51" s="36"/>
      <c r="K51" s="36"/>
      <c r="L51" s="36"/>
      <c r="M51" s="36"/>
      <c r="N51" s="36"/>
      <c r="O51" s="40" t="str">
        <f>FIXED(O50/3,0,TRUE)</f>
        <v>0</v>
      </c>
      <c r="P51" s="40"/>
    </row>
    <row r="52" ht="18.75" customHeight="1" spans="1:16">
      <c r="A52" s="104"/>
      <c r="B52" s="36"/>
      <c r="C52" s="36"/>
      <c r="D52" s="36"/>
      <c r="E52" s="36" t="s">
        <v>114</v>
      </c>
      <c r="F52" s="36"/>
      <c r="G52" s="36"/>
      <c r="H52" s="36"/>
      <c r="I52" s="36"/>
      <c r="J52" s="36"/>
      <c r="K52" s="36"/>
      <c r="L52" s="36"/>
      <c r="M52" s="36"/>
      <c r="N52" s="36"/>
      <c r="O52" s="32"/>
      <c r="P52" s="32"/>
    </row>
    <row r="53" ht="18.75" customHeight="1" spans="1:16">
      <c r="A53" s="104"/>
      <c r="B53" s="59" t="s">
        <v>115</v>
      </c>
      <c r="C53" s="60"/>
      <c r="D53" s="61"/>
      <c r="E53" s="59" t="s">
        <v>116</v>
      </c>
      <c r="F53" s="60"/>
      <c r="G53" s="60"/>
      <c r="H53" s="60"/>
      <c r="I53" s="60"/>
      <c r="J53" s="60"/>
      <c r="K53" s="60"/>
      <c r="L53" s="60"/>
      <c r="M53" s="60"/>
      <c r="N53" s="61"/>
      <c r="O53" s="125"/>
      <c r="P53" s="126"/>
    </row>
    <row r="54" ht="18" customHeight="1" spans="1:16">
      <c r="A54" s="127" t="s">
        <v>117</v>
      </c>
      <c r="B54" s="128"/>
      <c r="C54" s="128"/>
      <c r="D54" s="128"/>
      <c r="E54" s="128"/>
      <c r="F54" s="129"/>
      <c r="G54" s="65" t="s">
        <v>60</v>
      </c>
      <c r="H54" s="65" t="s">
        <v>61</v>
      </c>
      <c r="I54" s="65" t="s">
        <v>62</v>
      </c>
      <c r="J54" s="65" t="s">
        <v>63</v>
      </c>
      <c r="K54" s="65" t="s">
        <v>64</v>
      </c>
      <c r="L54" s="65"/>
      <c r="M54" s="65" t="s">
        <v>65</v>
      </c>
      <c r="N54" s="65"/>
      <c r="O54" s="65" t="s">
        <v>66</v>
      </c>
      <c r="P54" s="65"/>
    </row>
    <row r="55" ht="18" customHeight="1" spans="1:16">
      <c r="A55" s="127"/>
      <c r="B55" s="90" t="s">
        <v>118</v>
      </c>
      <c r="C55" s="90"/>
      <c r="D55" s="90"/>
      <c r="E55" s="130" t="s">
        <v>119</v>
      </c>
      <c r="F55" s="131"/>
      <c r="G55" s="103"/>
      <c r="H55" s="103"/>
      <c r="I55" s="103"/>
      <c r="J55" s="103"/>
      <c r="K55" s="103"/>
      <c r="L55" s="103"/>
      <c r="M55" s="103"/>
      <c r="N55" s="103"/>
      <c r="O55" s="132">
        <f>SUM((G55:N56))</f>
        <v>0</v>
      </c>
      <c r="P55" s="132"/>
    </row>
    <row r="56" ht="18" customHeight="1" spans="1:16">
      <c r="A56" s="127"/>
      <c r="B56" s="90"/>
      <c r="C56" s="90"/>
      <c r="D56" s="90"/>
      <c r="E56" s="130"/>
      <c r="F56" s="131"/>
      <c r="G56" s="103"/>
      <c r="H56" s="103"/>
      <c r="I56" s="103"/>
      <c r="J56" s="103"/>
      <c r="K56" s="103"/>
      <c r="L56" s="103"/>
      <c r="M56" s="103"/>
      <c r="N56" s="103"/>
      <c r="O56" s="132"/>
      <c r="P56" s="132"/>
    </row>
    <row r="57" ht="18" customHeight="1" spans="1:16">
      <c r="A57" s="127"/>
      <c r="B57" s="90" t="s">
        <v>120</v>
      </c>
      <c r="C57" s="90"/>
      <c r="D57" s="90"/>
      <c r="E57" s="90"/>
      <c r="F57" s="122"/>
      <c r="G57" s="102" t="s">
        <v>101</v>
      </c>
      <c r="H57" s="102"/>
      <c r="I57" s="102"/>
      <c r="J57" s="102"/>
      <c r="K57" s="102"/>
      <c r="L57" s="102"/>
      <c r="M57" s="102"/>
      <c r="N57" s="102"/>
      <c r="O57" s="133"/>
      <c r="P57" s="134"/>
    </row>
    <row r="58" ht="18" customHeight="1" spans="1:16">
      <c r="A58" s="127"/>
      <c r="B58" s="90" t="s">
        <v>121</v>
      </c>
      <c r="C58" s="90"/>
      <c r="D58" s="90"/>
      <c r="E58" s="90"/>
      <c r="F58" s="122"/>
      <c r="G58" s="102" t="s">
        <v>101</v>
      </c>
      <c r="H58" s="102"/>
      <c r="I58" s="102"/>
      <c r="J58" s="102"/>
      <c r="K58" s="102"/>
      <c r="L58" s="102"/>
      <c r="M58" s="102"/>
      <c r="N58" s="102"/>
      <c r="O58" s="103"/>
      <c r="P58" s="103"/>
    </row>
    <row r="59" ht="18.75" customHeight="1" spans="1:16">
      <c r="B59" s="30" t="s">
        <v>21</v>
      </c>
      <c r="C59" s="135">
        <f>'7年财报'!$G$13+$F$59-$I$59</f>
        <v>35</v>
      </c>
      <c r="D59" s="84" t="s">
        <v>122</v>
      </c>
      <c r="E59" s="84"/>
      <c r="F59" s="33">
        <f>$O$12+$O$23+$O$36+$O$44+$O$47+$O$58</f>
        <v>0</v>
      </c>
      <c r="G59" s="84" t="s">
        <v>123</v>
      </c>
      <c r="H59" s="136"/>
      <c r="I59" s="137">
        <f>$M$1+$P$5+$O$10+$O$11+$O$18+$O$21+$O$22+$O$26+$O$29+$O$31+$O$33+$O$34+$O$40+$O$45+$O$46+$O$42+$O$43+$O$48+$O$53+$O$55+$O$57</f>
        <v>0</v>
      </c>
      <c r="J59" s="138" t="s">
        <v>124</v>
      </c>
      <c r="K59" s="139" t="e">
        <f>$O$5/$P$5</f>
        <v>#DIV/0!</v>
      </c>
      <c r="L59" s="140" t="s">
        <v>125</v>
      </c>
      <c r="M59" s="141" t="e">
        <f>$O$33/($O$38+$O$58)</f>
        <v>#DIV/0!</v>
      </c>
      <c r="N59" s="142" t="s">
        <v>126</v>
      </c>
      <c r="O59" s="143">
        <f>($O$38-$O$39--$O$11-$P$5-$M$1-$O$21-$O$22--$O$29-$O$33-$O$34-$O$42-$O$45-$O$48-$O$53-$O$57+$O$58)/($O$31*7+5)*100</f>
        <v>0</v>
      </c>
    </row>
    <row r="60" ht="18.75" spans="1:16">
      <c r="A60" s="144" t="s">
        <v>27</v>
      </c>
      <c r="B60" s="145"/>
      <c r="C60" s="33">
        <f>$O$11+$O$42+$O$55</f>
        <v>0</v>
      </c>
      <c r="D60" s="138" t="s">
        <v>127</v>
      </c>
      <c r="E60" s="33">
        <f>$O$46-$O$47</f>
        <v>0</v>
      </c>
      <c r="F60" s="146" t="s">
        <v>128</v>
      </c>
      <c r="G60" s="40">
        <f>$O$38-$O$36</f>
        <v>0</v>
      </c>
      <c r="H60" s="147" t="s">
        <v>146</v>
      </c>
      <c r="I60" s="148">
        <f>'8年财报'!$C$22/'8年财报'!$K$19</f>
        <v>0</v>
      </c>
      <c r="J60" s="149" t="s">
        <v>130</v>
      </c>
      <c r="K60" s="148">
        <f>'8年财报'!$C$22/'8年财报'!$G$22</f>
        <v>0</v>
      </c>
      <c r="L60" s="150"/>
      <c r="M60" s="151"/>
      <c r="N60" s="150"/>
      <c r="O60" s="152"/>
      <c r="P60" s="153"/>
    </row>
    <row r="61" ht="18.75" spans="1:16">
      <c r="A61" s="144" t="s">
        <v>30</v>
      </c>
      <c r="B61" s="145"/>
      <c r="C61" s="33">
        <f>$O$58-$O$57</f>
        <v>0</v>
      </c>
      <c r="D61" s="154" t="s">
        <v>131</v>
      </c>
      <c r="E61" s="33">
        <f>$O$27-$O$23</f>
        <v>0</v>
      </c>
      <c r="F61" s="154" t="s">
        <v>132</v>
      </c>
      <c r="G61" s="40">
        <f>$O$28-$O$51</f>
        <v>0</v>
      </c>
      <c r="H61" s="155" t="s">
        <v>133</v>
      </c>
      <c r="I61" s="148" t="e">
        <f>'8年财报'!$C$22/'8年财报'!$C$4</f>
        <v>#DIV/0!</v>
      </c>
      <c r="J61" s="147" t="s">
        <v>134</v>
      </c>
      <c r="K61" s="148" t="e">
        <f>1-'8年财报'!$C$5/'8年财报'!$C$4</f>
        <v>#DIV/0!</v>
      </c>
      <c r="L61" s="151"/>
      <c r="M61" s="151"/>
      <c r="N61" s="151"/>
      <c r="O61" s="151"/>
      <c r="P61" s="153"/>
    </row>
    <row r="62" ht="14.25" spans="1:16">
      <c r="A62" s="153"/>
      <c r="B62" s="153"/>
      <c r="C62" s="153"/>
      <c r="D62" s="156"/>
      <c r="E62" s="153"/>
      <c r="F62" s="153"/>
      <c r="G62" s="153"/>
      <c r="H62" s="157"/>
      <c r="I62" s="158"/>
      <c r="J62" s="150"/>
      <c r="K62" s="158"/>
      <c r="L62" s="153"/>
      <c r="M62" s="153"/>
      <c r="N62" s="153"/>
      <c r="O62" s="153"/>
      <c r="P62" s="153"/>
    </row>
    <row r="63" ht="14.25" spans="1:16">
      <c r="A63" s="153"/>
      <c r="B63" s="153"/>
      <c r="C63" s="153"/>
      <c r="D63" s="156"/>
      <c r="E63" s="153"/>
      <c r="F63" s="153"/>
      <c r="G63" s="153"/>
      <c r="H63" s="157"/>
      <c r="I63" s="158"/>
      <c r="J63" s="150"/>
      <c r="K63" s="158"/>
      <c r="L63" s="153"/>
      <c r="M63" s="153"/>
      <c r="N63" s="153"/>
      <c r="O63" s="153"/>
      <c r="P63" s="153"/>
    </row>
    <row r="64" ht="14.25" spans="1:16">
      <c r="A64" s="153"/>
      <c r="B64" s="153"/>
      <c r="C64" s="153"/>
      <c r="D64" s="156"/>
      <c r="E64" s="153"/>
      <c r="F64" s="153"/>
      <c r="G64" s="153"/>
      <c r="H64" s="153"/>
      <c r="I64" s="153"/>
      <c r="J64" s="153"/>
      <c r="K64" s="153"/>
      <c r="L64" s="153"/>
      <c r="M64" s="153"/>
      <c r="N64" s="153"/>
      <c r="O64" s="153"/>
      <c r="P64" s="153"/>
    </row>
    <row r="65" ht="14.25" spans="1:16">
      <c r="A65" s="153"/>
      <c r="B65" s="153"/>
      <c r="C65" s="153"/>
      <c r="D65" s="156"/>
      <c r="E65" s="153"/>
      <c r="F65" s="153"/>
      <c r="G65" s="153"/>
      <c r="H65" s="153"/>
      <c r="I65" s="153"/>
      <c r="J65" s="153"/>
      <c r="K65" s="153"/>
      <c r="L65" s="153"/>
      <c r="M65" s="153"/>
      <c r="N65" s="153"/>
      <c r="O65" s="153"/>
      <c r="P65" s="153"/>
    </row>
    <row r="66" ht="14.25" spans="1:16">
      <c r="A66" s="153"/>
      <c r="B66" s="153"/>
      <c r="C66" s="153"/>
      <c r="D66" s="156"/>
      <c r="E66" s="153"/>
      <c r="F66" s="153"/>
      <c r="G66" s="153"/>
      <c r="H66" s="153"/>
      <c r="I66" s="153"/>
      <c r="J66" s="153"/>
      <c r="K66" s="153"/>
      <c r="L66" s="153"/>
      <c r="M66" s="153"/>
      <c r="N66" s="153"/>
      <c r="O66" s="153"/>
      <c r="P66" s="153"/>
    </row>
    <row r="67" ht="14.25" spans="1:16">
      <c r="A67" s="153"/>
      <c r="B67" s="153"/>
      <c r="C67" s="153"/>
      <c r="D67" s="156"/>
      <c r="E67" s="153"/>
      <c r="F67" s="153"/>
      <c r="G67" s="153"/>
      <c r="H67" s="153"/>
      <c r="I67" s="153"/>
      <c r="J67" s="153"/>
      <c r="K67" s="153"/>
      <c r="L67" s="153"/>
      <c r="M67" s="153"/>
      <c r="N67" s="153"/>
      <c r="O67" s="153"/>
      <c r="P67" s="153"/>
    </row>
    <row r="68" ht="14.25" spans="1:16">
      <c r="A68" s="153"/>
      <c r="B68" s="153"/>
      <c r="C68" s="153"/>
      <c r="D68" s="156"/>
      <c r="E68" s="153"/>
      <c r="F68" s="153"/>
      <c r="G68" s="153"/>
      <c r="H68" s="153"/>
      <c r="I68" s="153"/>
      <c r="J68" s="153"/>
      <c r="K68" s="153"/>
      <c r="L68" s="153"/>
      <c r="M68" s="153"/>
      <c r="N68" s="153"/>
      <c r="O68" s="153"/>
      <c r="P68" s="153"/>
    </row>
    <row r="69" ht="14.25" spans="1:16">
      <c r="A69" s="153"/>
      <c r="B69" s="153"/>
      <c r="C69" s="153"/>
      <c r="D69" s="156"/>
      <c r="E69" s="153"/>
      <c r="F69" s="153"/>
      <c r="G69" s="153"/>
      <c r="H69" s="153"/>
      <c r="I69" s="153"/>
      <c r="J69" s="153"/>
      <c r="K69" s="153"/>
      <c r="L69" s="153"/>
      <c r="M69" s="153"/>
      <c r="N69" s="153"/>
      <c r="O69" s="153"/>
      <c r="P69" s="153"/>
    </row>
  </sheetData>
  <mergeCells count="265">
    <mergeCell ref="B1:D1"/>
    <mergeCell ref="E1:L1"/>
    <mergeCell ref="M1:N1"/>
    <mergeCell ref="O1:P1"/>
    <mergeCell ref="B2:D2"/>
    <mergeCell ref="E2:J2"/>
    <mergeCell ref="K2:L2"/>
    <mergeCell ref="M2:N2"/>
    <mergeCell ref="O2:P2"/>
    <mergeCell ref="E3:F3"/>
    <mergeCell ref="G3:H3"/>
    <mergeCell ref="I3:J3"/>
    <mergeCell ref="K3:L3"/>
    <mergeCell ref="E4:F4"/>
    <mergeCell ref="G4:H4"/>
    <mergeCell ref="I4:J4"/>
    <mergeCell ref="K4:L4"/>
    <mergeCell ref="E5:F5"/>
    <mergeCell ref="G5:H5"/>
    <mergeCell ref="I5:J5"/>
    <mergeCell ref="K5:L5"/>
    <mergeCell ref="M5:N5"/>
    <mergeCell ref="E6:F6"/>
    <mergeCell ref="G6:H6"/>
    <mergeCell ref="I6:J6"/>
    <mergeCell ref="K6:L6"/>
    <mergeCell ref="M6:N6"/>
    <mergeCell ref="E7:F7"/>
    <mergeCell ref="G7:H7"/>
    <mergeCell ref="I7:J7"/>
    <mergeCell ref="K7:L7"/>
    <mergeCell ref="M7:N7"/>
    <mergeCell ref="E8:F8"/>
    <mergeCell ref="G8:H8"/>
    <mergeCell ref="I8:J8"/>
    <mergeCell ref="K8:L8"/>
    <mergeCell ref="M8:N8"/>
    <mergeCell ref="E9:F9"/>
    <mergeCell ref="G9:H9"/>
    <mergeCell ref="I9:J9"/>
    <mergeCell ref="K9:L9"/>
    <mergeCell ref="M9:N9"/>
    <mergeCell ref="E10:F10"/>
    <mergeCell ref="G10:H10"/>
    <mergeCell ref="I10:J10"/>
    <mergeCell ref="K10:L10"/>
    <mergeCell ref="M10:N10"/>
    <mergeCell ref="E11:F11"/>
    <mergeCell ref="G11:H11"/>
    <mergeCell ref="I11:J11"/>
    <mergeCell ref="K11:L11"/>
    <mergeCell ref="M11:N11"/>
    <mergeCell ref="E12:F12"/>
    <mergeCell ref="G12:H12"/>
    <mergeCell ref="I12:J12"/>
    <mergeCell ref="K12:L12"/>
    <mergeCell ref="M12:N12"/>
    <mergeCell ref="E13:F13"/>
    <mergeCell ref="G13:H13"/>
    <mergeCell ref="I13:J13"/>
    <mergeCell ref="K13:L13"/>
    <mergeCell ref="M13:N13"/>
    <mergeCell ref="O13:P13"/>
    <mergeCell ref="E14:F14"/>
    <mergeCell ref="G14:H14"/>
    <mergeCell ref="I14:J14"/>
    <mergeCell ref="K14:L14"/>
    <mergeCell ref="M14:N14"/>
    <mergeCell ref="O14:P14"/>
    <mergeCell ref="E15:F15"/>
    <mergeCell ref="G15:H15"/>
    <mergeCell ref="I15:J15"/>
    <mergeCell ref="K15:L15"/>
    <mergeCell ref="M15:N15"/>
    <mergeCell ref="O15:P15"/>
    <mergeCell ref="E16:F16"/>
    <mergeCell ref="G16:H16"/>
    <mergeCell ref="I16:J16"/>
    <mergeCell ref="K16:L16"/>
    <mergeCell ref="M16:N16"/>
    <mergeCell ref="O16:P16"/>
    <mergeCell ref="E17:F17"/>
    <mergeCell ref="G17:H17"/>
    <mergeCell ref="I17:J17"/>
    <mergeCell ref="K17:L17"/>
    <mergeCell ref="M17:N17"/>
    <mergeCell ref="O17:P17"/>
    <mergeCell ref="E18:F18"/>
    <mergeCell ref="G18:H18"/>
    <mergeCell ref="I18:J18"/>
    <mergeCell ref="K18:L18"/>
    <mergeCell ref="M18:N18"/>
    <mergeCell ref="O18:P18"/>
    <mergeCell ref="B19:P19"/>
    <mergeCell ref="E20:F20"/>
    <mergeCell ref="G20:H20"/>
    <mergeCell ref="I20:J20"/>
    <mergeCell ref="K20:L20"/>
    <mergeCell ref="M20:N20"/>
    <mergeCell ref="O20:P20"/>
    <mergeCell ref="E21:F21"/>
    <mergeCell ref="G21:H21"/>
    <mergeCell ref="I21:J21"/>
    <mergeCell ref="K21:L21"/>
    <mergeCell ref="M21:N21"/>
    <mergeCell ref="O21:P21"/>
    <mergeCell ref="E22:F22"/>
    <mergeCell ref="G22:H22"/>
    <mergeCell ref="I22:J22"/>
    <mergeCell ref="K22:L22"/>
    <mergeCell ref="M22:N22"/>
    <mergeCell ref="O22:P22"/>
    <mergeCell ref="E26:F26"/>
    <mergeCell ref="G26:H26"/>
    <mergeCell ref="I26:J26"/>
    <mergeCell ref="K26:L26"/>
    <mergeCell ref="M26:N26"/>
    <mergeCell ref="O26:P26"/>
    <mergeCell ref="G27:H27"/>
    <mergeCell ref="I27:J27"/>
    <mergeCell ref="K27:L27"/>
    <mergeCell ref="M27:N27"/>
    <mergeCell ref="O27:P27"/>
    <mergeCell ref="G28:H28"/>
    <mergeCell ref="I28:J28"/>
    <mergeCell ref="K28:L28"/>
    <mergeCell ref="M28:N28"/>
    <mergeCell ref="O28:P28"/>
    <mergeCell ref="B33:D33"/>
    <mergeCell ref="E33:F33"/>
    <mergeCell ref="G33:H33"/>
    <mergeCell ref="I33:J33"/>
    <mergeCell ref="K33:L33"/>
    <mergeCell ref="M33:N33"/>
    <mergeCell ref="O33:P33"/>
    <mergeCell ref="B34:D34"/>
    <mergeCell ref="E34:F34"/>
    <mergeCell ref="G34:H34"/>
    <mergeCell ref="I34:J34"/>
    <mergeCell ref="K34:L34"/>
    <mergeCell ref="M34:N34"/>
    <mergeCell ref="O34:P34"/>
    <mergeCell ref="B35:P35"/>
    <mergeCell ref="E38:F38"/>
    <mergeCell ref="G38:H38"/>
    <mergeCell ref="I38:J38"/>
    <mergeCell ref="K38:L38"/>
    <mergeCell ref="M38:N38"/>
    <mergeCell ref="O38:P38"/>
    <mergeCell ref="E39:F39"/>
    <mergeCell ref="G39:H39"/>
    <mergeCell ref="I39:J39"/>
    <mergeCell ref="K39:L39"/>
    <mergeCell ref="M39:N39"/>
    <mergeCell ref="O39:P39"/>
    <mergeCell ref="B40:D40"/>
    <mergeCell ref="E40:F40"/>
    <mergeCell ref="G40:H40"/>
    <mergeCell ref="I40:J40"/>
    <mergeCell ref="K40:L40"/>
    <mergeCell ref="M40:N40"/>
    <mergeCell ref="O40:P40"/>
    <mergeCell ref="E42:F42"/>
    <mergeCell ref="G42:N42"/>
    <mergeCell ref="E43:F43"/>
    <mergeCell ref="G43:N43"/>
    <mergeCell ref="E44:F44"/>
    <mergeCell ref="G44:N44"/>
    <mergeCell ref="B45:F45"/>
    <mergeCell ref="G45:N45"/>
    <mergeCell ref="O45:P45"/>
    <mergeCell ref="E46:F46"/>
    <mergeCell ref="O46:P46"/>
    <mergeCell ref="E47:F47"/>
    <mergeCell ref="O47:P47"/>
    <mergeCell ref="B48:F48"/>
    <mergeCell ref="G48:N48"/>
    <mergeCell ref="O48:P48"/>
    <mergeCell ref="B49:F49"/>
    <mergeCell ref="G49:N49"/>
    <mergeCell ref="O49:P49"/>
    <mergeCell ref="E50:N50"/>
    <mergeCell ref="O50:P50"/>
    <mergeCell ref="E51:N51"/>
    <mergeCell ref="O51:P51"/>
    <mergeCell ref="E52:N52"/>
    <mergeCell ref="O52:P52"/>
    <mergeCell ref="B53:D53"/>
    <mergeCell ref="E53:N53"/>
    <mergeCell ref="O53:P53"/>
    <mergeCell ref="B54:F54"/>
    <mergeCell ref="G54:H54"/>
    <mergeCell ref="I54:J54"/>
    <mergeCell ref="K54:L54"/>
    <mergeCell ref="M54:N54"/>
    <mergeCell ref="O54:P54"/>
    <mergeCell ref="B57:F57"/>
    <mergeCell ref="G57:N57"/>
    <mergeCell ref="O57:P57"/>
    <mergeCell ref="B58:F58"/>
    <mergeCell ref="G58:N58"/>
    <mergeCell ref="O58:P58"/>
    <mergeCell ref="D59:E59"/>
    <mergeCell ref="G59:H59"/>
    <mergeCell ref="A60:B60"/>
    <mergeCell ref="A61:B61"/>
    <mergeCell ref="A1:A8"/>
    <mergeCell ref="A9:A12"/>
    <mergeCell ref="A13:A18"/>
    <mergeCell ref="A19:A40"/>
    <mergeCell ref="A42:A53"/>
    <mergeCell ref="A54:A58"/>
    <mergeCell ref="D3:D4"/>
    <mergeCell ref="E27:E28"/>
    <mergeCell ref="O3:O4"/>
    <mergeCell ref="O5:O8"/>
    <mergeCell ref="P3:P4"/>
    <mergeCell ref="P5:P8"/>
    <mergeCell ref="P10:P12"/>
    <mergeCell ref="P42:P44"/>
    <mergeCell ref="Q7:Q8"/>
    <mergeCell ref="B3:C8"/>
    <mergeCell ref="M3:N4"/>
    <mergeCell ref="B9:D12"/>
    <mergeCell ref="B13:D18"/>
    <mergeCell ref="B20:D28"/>
    <mergeCell ref="E23:F25"/>
    <mergeCell ref="G23:H25"/>
    <mergeCell ref="I23:J25"/>
    <mergeCell ref="K23:L25"/>
    <mergeCell ref="M23:N25"/>
    <mergeCell ref="O23:P25"/>
    <mergeCell ref="B29:D30"/>
    <mergeCell ref="E29:F30"/>
    <mergeCell ref="G29:H30"/>
    <mergeCell ref="I29:J30"/>
    <mergeCell ref="K29:L30"/>
    <mergeCell ref="M29:N30"/>
    <mergeCell ref="O29:P30"/>
    <mergeCell ref="B31:D32"/>
    <mergeCell ref="E31:F32"/>
    <mergeCell ref="G31:H32"/>
    <mergeCell ref="I31:J32"/>
    <mergeCell ref="K31:L32"/>
    <mergeCell ref="M31:N32"/>
    <mergeCell ref="O31:P32"/>
    <mergeCell ref="B36:D37"/>
    <mergeCell ref="E36:F37"/>
    <mergeCell ref="G36:H37"/>
    <mergeCell ref="I36:J37"/>
    <mergeCell ref="K36:L37"/>
    <mergeCell ref="M36:N37"/>
    <mergeCell ref="O36:P37"/>
    <mergeCell ref="B38:D39"/>
    <mergeCell ref="B42:D44"/>
    <mergeCell ref="B46:D47"/>
    <mergeCell ref="G46:N47"/>
    <mergeCell ref="B50:D52"/>
    <mergeCell ref="B55:D56"/>
    <mergeCell ref="E55:F56"/>
    <mergeCell ref="G55:H56"/>
    <mergeCell ref="I55:J56"/>
    <mergeCell ref="K55:L56"/>
    <mergeCell ref="M55:N56"/>
    <mergeCell ref="O55:P56"/>
  </mergeCells>
  <pageMargins left="0.354330708661417" right="0.748031496062992" top="0.196850393700787" bottom="0.196850393700787" header="0.511811023622047" footer="0.511811023622047"/>
  <pageSetup paperSize="8" orientation="portrait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L26"/>
  <sheetViews>
    <sheetView zoomScale="130" zoomScaleNormal="130" topLeftCell="A10" workbookViewId="0">
      <selection activeCell="F5" sqref="F5"/>
    </sheetView>
  </sheetViews>
  <sheetFormatPr defaultColWidth="8.75833333333333" defaultRowHeight="13.5"/>
  <cols>
    <col min="1" max="1" width="4.125" customWidth="1"/>
    <col min="2" max="2" width="18.125" customWidth="1"/>
    <col min="3" max="3" width="12.125" style="2" customWidth="1"/>
    <col min="4" max="4" width="11.125" customWidth="1"/>
    <col min="5" max="5" width="2.875" customWidth="1"/>
    <col min="6" max="6" width="16.875" customWidth="1"/>
    <col min="7" max="8" width="12.125" customWidth="1"/>
    <col min="9" max="9" width="2.875" customWidth="1"/>
    <col min="10" max="10" width="13.5" customWidth="1"/>
    <col min="11" max="12" width="12.125" customWidth="1"/>
    <col min="13" max="13" width="4.125" customWidth="1"/>
    <col min="14" max="14" width="8.625" customWidth="1"/>
  </cols>
  <sheetData>
    <row r="2" s="1" customFormat="1" ht="20.1" customHeight="1" spans="2:12">
      <c r="B2" s="3" t="s">
        <v>0</v>
      </c>
      <c r="C2" s="4"/>
      <c r="D2" s="5"/>
      <c r="E2" s="5"/>
      <c r="F2" s="3" t="s">
        <v>1</v>
      </c>
      <c r="G2" s="3"/>
      <c r="H2" s="3"/>
      <c r="I2" s="3"/>
      <c r="J2" s="3"/>
      <c r="K2" s="3"/>
    </row>
    <row r="3" s="1" customFormat="1" ht="20.1" customHeight="1" spans="2:12">
      <c r="B3" s="5"/>
      <c r="C3" s="6"/>
      <c r="D3" s="5"/>
      <c r="E3" s="5"/>
      <c r="F3" s="7" t="s">
        <v>2</v>
      </c>
      <c r="G3" s="7"/>
      <c r="H3" s="5"/>
      <c r="I3" s="5"/>
      <c r="J3" s="8" t="s">
        <v>3</v>
      </c>
      <c r="K3" s="8"/>
    </row>
    <row r="4" s="1" customFormat="1" ht="20.1" customHeight="1" spans="2:12">
      <c r="B4" s="9" t="s">
        <v>4</v>
      </c>
      <c r="C4" s="10">
        <f>'8年经营'!O38</f>
        <v>0</v>
      </c>
      <c r="D4" s="5"/>
      <c r="E4" s="5"/>
      <c r="F4" s="11" t="s">
        <v>5</v>
      </c>
      <c r="G4" s="12"/>
      <c r="H4" s="5"/>
      <c r="I4" s="5"/>
      <c r="J4" s="11" t="s">
        <v>6</v>
      </c>
      <c r="K4" s="12"/>
    </row>
    <row r="5" s="1" customFormat="1" ht="20.1" customHeight="1" spans="2:12">
      <c r="B5" s="9" t="s">
        <v>7</v>
      </c>
      <c r="C5" s="10">
        <f>'8年经营'!O39</f>
        <v>0</v>
      </c>
      <c r="D5" s="5"/>
      <c r="E5" s="5"/>
      <c r="F5" s="9" t="s">
        <v>8</v>
      </c>
      <c r="G5" s="10">
        <f>'8年经营'!O52</f>
        <v>0</v>
      </c>
      <c r="H5" s="5"/>
      <c r="I5" s="5"/>
      <c r="J5" s="5"/>
      <c r="K5" s="5"/>
    </row>
    <row r="6" s="1" customFormat="1" ht="20.1" customHeight="1" spans="2:12">
      <c r="B6" s="9"/>
      <c r="C6" s="13"/>
      <c r="D6" s="5"/>
      <c r="E6" s="5"/>
      <c r="F6" s="9" t="s">
        <v>9</v>
      </c>
      <c r="G6" s="10">
        <f>'7年财报'!G6+'8年经营'!E60</f>
        <v>40</v>
      </c>
      <c r="H6" s="5"/>
      <c r="I6" s="5"/>
      <c r="J6" s="5"/>
      <c r="K6" s="5"/>
    </row>
    <row r="7" s="1" customFormat="1" ht="20.1" customHeight="1" spans="2:12">
      <c r="B7" s="14" t="s">
        <v>10</v>
      </c>
      <c r="C7" s="15">
        <f>C4-C5</f>
        <v>0</v>
      </c>
      <c r="D7" s="5"/>
      <c r="E7" s="5"/>
      <c r="F7" s="9" t="s">
        <v>11</v>
      </c>
      <c r="G7" s="10">
        <f>'7年财报'!G7+'8年经营'!E61</f>
        <v>3</v>
      </c>
      <c r="H7" s="5"/>
      <c r="I7" s="5"/>
      <c r="J7" s="9" t="s">
        <v>12</v>
      </c>
      <c r="K7" s="10">
        <f>'8年经营'!P10</f>
        <v>20</v>
      </c>
      <c r="L7" s="5"/>
    </row>
    <row r="8" s="1" customFormat="1" ht="20.1" customHeight="1" spans="2:12">
      <c r="B8" s="9"/>
      <c r="C8" s="13"/>
      <c r="D8" s="5"/>
      <c r="E8" s="5"/>
      <c r="F8" s="9" t="s">
        <v>13</v>
      </c>
      <c r="G8" s="10">
        <f>'7年财报'!G8+'8年经营'!G61</f>
        <v>0</v>
      </c>
      <c r="H8" s="5"/>
      <c r="I8" s="5"/>
      <c r="J8" s="9" t="s">
        <v>14</v>
      </c>
      <c r="K8" s="10">
        <f>'8年经营'!P42</f>
        <v>0</v>
      </c>
      <c r="L8" s="5"/>
    </row>
    <row r="9" s="1" customFormat="1" ht="20.1" customHeight="1" spans="2:12">
      <c r="B9" s="9"/>
      <c r="C9" s="13"/>
      <c r="D9" s="5"/>
      <c r="E9" s="5"/>
      <c r="F9" s="14" t="s">
        <v>135</v>
      </c>
      <c r="G9" s="14">
        <f>G5+G6+G7+G8</f>
        <v>43</v>
      </c>
      <c r="H9" s="5"/>
      <c r="I9" s="5"/>
      <c r="J9" s="5"/>
      <c r="K9" s="5"/>
    </row>
    <row r="10" s="1" customFormat="1" ht="20.1" customHeight="1" spans="2:12">
      <c r="B10" s="9" t="s">
        <v>16</v>
      </c>
      <c r="C10" s="10">
        <f>'8年经营'!O2</f>
        <v>0</v>
      </c>
      <c r="D10" s="5"/>
      <c r="E10" s="5"/>
      <c r="F10" s="5"/>
      <c r="G10" s="5"/>
      <c r="H10" s="5"/>
      <c r="I10" s="5"/>
      <c r="J10" s="14" t="s">
        <v>17</v>
      </c>
      <c r="K10" s="14">
        <f>K6+K7+K8</f>
        <v>20</v>
      </c>
    </row>
    <row r="11" s="1" customFormat="1" ht="20.1" customHeight="1" spans="2:12">
      <c r="B11" s="9" t="s">
        <v>18</v>
      </c>
      <c r="C11" s="16" t="str">
        <f>'8年经营'!O51</f>
        <v>0</v>
      </c>
      <c r="D11" s="5"/>
      <c r="E11" s="5"/>
      <c r="F11" s="11" t="s">
        <v>19</v>
      </c>
      <c r="G11" s="12"/>
      <c r="H11" s="5"/>
      <c r="I11" s="5"/>
      <c r="J11" s="5"/>
      <c r="K11" s="5"/>
    </row>
    <row r="12" s="1" customFormat="1" ht="20.1" customHeight="1" spans="2:12">
      <c r="B12" s="9"/>
      <c r="C12" s="13"/>
      <c r="D12" s="5"/>
      <c r="E12" s="5"/>
      <c r="F12" s="5"/>
      <c r="G12" s="5"/>
      <c r="H12" s="5"/>
      <c r="I12" s="5"/>
      <c r="J12" s="5"/>
      <c r="K12" s="5"/>
    </row>
    <row r="13" s="1" customFormat="1" ht="20.1" customHeight="1" spans="2:12">
      <c r="B13" s="14" t="s">
        <v>20</v>
      </c>
      <c r="C13" s="15">
        <f>C7-C10-C11</f>
        <v>0</v>
      </c>
      <c r="D13" s="5"/>
      <c r="E13" s="5"/>
      <c r="F13" s="9" t="s">
        <v>21</v>
      </c>
      <c r="G13" s="10">
        <f>'8年经营'!C59</f>
        <v>35</v>
      </c>
      <c r="H13" s="5"/>
      <c r="I13" s="5"/>
      <c r="J13" s="11" t="s">
        <v>23</v>
      </c>
      <c r="K13" s="12"/>
    </row>
    <row r="14" s="1" customFormat="1" ht="20.1" customHeight="1" spans="2:12">
      <c r="B14" s="9"/>
      <c r="C14" s="13"/>
      <c r="D14" s="5"/>
      <c r="E14" s="5"/>
      <c r="F14" s="9" t="s">
        <v>24</v>
      </c>
      <c r="G14" s="10">
        <f>'7年财报'!G14+'8年经营'!O38-'8年经营'!O36</f>
        <v>0</v>
      </c>
      <c r="H14" s="5"/>
      <c r="I14" s="5"/>
      <c r="J14" s="5"/>
      <c r="K14" s="5"/>
    </row>
    <row r="15" s="1" customFormat="1" ht="20.1" customHeight="1" spans="2:12">
      <c r="B15" s="9"/>
      <c r="C15" s="13"/>
      <c r="D15" s="5"/>
      <c r="E15" s="5"/>
      <c r="F15" s="9" t="s">
        <v>25</v>
      </c>
      <c r="G15" s="17"/>
      <c r="H15" s="5" t="s">
        <v>22</v>
      </c>
      <c r="I15" s="5"/>
      <c r="J15" s="9" t="s">
        <v>26</v>
      </c>
      <c r="K15" s="10">
        <f>'7年财报'!K15</f>
        <v>50</v>
      </c>
      <c r="L15" s="5"/>
    </row>
    <row r="16" s="1" customFormat="1" ht="20.1" customHeight="1" spans="2:12">
      <c r="B16" s="9" t="s">
        <v>27</v>
      </c>
      <c r="C16" s="10">
        <f>'8年经营'!C60</f>
        <v>0</v>
      </c>
      <c r="D16" s="5"/>
      <c r="E16" s="5"/>
      <c r="F16" s="9" t="s">
        <v>28</v>
      </c>
      <c r="G16" s="17"/>
      <c r="H16" s="5" t="s">
        <v>22</v>
      </c>
      <c r="I16" s="5"/>
      <c r="J16" s="9" t="s">
        <v>29</v>
      </c>
      <c r="K16" s="10">
        <f>'7年财报'!K16+'7年财报'!K17</f>
        <v>19</v>
      </c>
    </row>
    <row r="17" s="1" customFormat="1" ht="20.1" customHeight="1" spans="2:11">
      <c r="B17" s="9" t="s">
        <v>30</v>
      </c>
      <c r="C17" s="10">
        <f>'8年经营'!C61</f>
        <v>0</v>
      </c>
      <c r="D17" s="5"/>
      <c r="E17" s="5"/>
      <c r="F17" s="9" t="s">
        <v>31</v>
      </c>
      <c r="G17" s="17"/>
      <c r="H17" s="5" t="s">
        <v>22</v>
      </c>
      <c r="I17" s="5"/>
      <c r="J17" s="9" t="s">
        <v>32</v>
      </c>
      <c r="K17" s="14">
        <f>C22</f>
        <v>0</v>
      </c>
    </row>
    <row r="18" s="1" customFormat="1" ht="20.1" customHeight="1" spans="2:11">
      <c r="B18" s="9"/>
      <c r="C18" s="13"/>
      <c r="D18" s="5"/>
      <c r="E18" s="5"/>
      <c r="F18" s="9" t="s">
        <v>33</v>
      </c>
      <c r="G18" s="14">
        <f>G13-C21</f>
        <v>35</v>
      </c>
      <c r="H18" s="5"/>
      <c r="I18" s="5"/>
      <c r="J18" s="5"/>
      <c r="K18" s="5"/>
    </row>
    <row r="19" s="1" customFormat="1" ht="20.1" customHeight="1" spans="2:11">
      <c r="B19" s="14" t="s">
        <v>34</v>
      </c>
      <c r="C19" s="15">
        <f>C13-C16+C17</f>
        <v>0</v>
      </c>
      <c r="D19" s="5"/>
      <c r="E19" s="5"/>
      <c r="F19" s="14" t="s">
        <v>35</v>
      </c>
      <c r="G19" s="14">
        <f>SUM(G14:G18)</f>
        <v>35</v>
      </c>
      <c r="H19" s="5"/>
      <c r="I19" s="5"/>
      <c r="J19" s="9" t="s">
        <v>36</v>
      </c>
      <c r="K19" s="14">
        <f>K15+K16+K17</f>
        <v>69</v>
      </c>
    </row>
    <row r="20" s="1" customFormat="1" ht="20.1" customHeight="1" spans="2:11">
      <c r="B20" s="18"/>
      <c r="C20" s="6"/>
      <c r="D20" s="5"/>
      <c r="E20" s="5"/>
      <c r="F20" s="5"/>
      <c r="G20" s="5"/>
      <c r="H20" s="5"/>
      <c r="I20" s="5"/>
      <c r="J20" s="5"/>
      <c r="K20" s="5"/>
    </row>
    <row r="21" s="1" customFormat="1" ht="20.1" customHeight="1" spans="2:11">
      <c r="B21" s="9" t="s">
        <v>37</v>
      </c>
      <c r="C21" s="15" t="str">
        <f>IF((FIXED(C19*C24,0)-0)&lt;0,0,FIXED(C19*C24,0,TRUE))</f>
        <v>0</v>
      </c>
      <c r="D21" s="5"/>
      <c r="E21" s="5"/>
      <c r="F21" s="5"/>
      <c r="G21" s="5"/>
      <c r="H21" s="5"/>
      <c r="I21" s="5"/>
      <c r="J21" s="5"/>
      <c r="K21" s="5"/>
    </row>
    <row r="22" s="1" customFormat="1" ht="20.1" customHeight="1" spans="2:11">
      <c r="B22" s="14" t="s">
        <v>32</v>
      </c>
      <c r="C22" s="15">
        <f>C19-C21</f>
        <v>0</v>
      </c>
      <c r="D22" s="5"/>
      <c r="E22" s="5"/>
      <c r="F22" s="14" t="s">
        <v>38</v>
      </c>
      <c r="G22" s="14">
        <f>G9+G19</f>
        <v>78</v>
      </c>
      <c r="H22" s="5"/>
      <c r="I22" s="5"/>
      <c r="J22" s="14" t="s">
        <v>39</v>
      </c>
      <c r="K22" s="14">
        <f>K19+K10</f>
        <v>89</v>
      </c>
    </row>
    <row r="24" ht="21.95" customHeight="1" spans="2:11">
      <c r="B24" s="19" t="s">
        <v>136</v>
      </c>
      <c r="C24" s="20"/>
      <c r="D24" s="21" t="s">
        <v>137</v>
      </c>
    </row>
    <row r="25" ht="21.95" customHeight="1" spans="2:11">
      <c r="B25" s="19" t="s">
        <v>138</v>
      </c>
      <c r="C25" s="22"/>
      <c r="D25" s="21"/>
    </row>
    <row r="26" ht="20.1" customHeight="1" spans="2:11">
      <c r="B26" s="19" t="s">
        <v>139</v>
      </c>
      <c r="C26" s="23"/>
      <c r="D26" s="21"/>
    </row>
  </sheetData>
  <mergeCells count="10">
    <mergeCell ref="B2:C2"/>
    <mergeCell ref="F2:K2"/>
    <mergeCell ref="F3:G3"/>
    <mergeCell ref="J3:K3"/>
    <mergeCell ref="F4:G4"/>
    <mergeCell ref="J4:K4"/>
    <mergeCell ref="F11:G11"/>
    <mergeCell ref="J13:K13"/>
    <mergeCell ref="C24:C26"/>
    <mergeCell ref="D24:D26"/>
  </mergeCells>
  <pageMargins left="0.554861111111111" right="0.554861111111111" top="0.60625" bottom="0.60625" header="0.5" footer="0.5"/>
  <pageSetup paperSize="8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初始年财报</vt:lpstr>
      <vt:lpstr>0年经营</vt:lpstr>
      <vt:lpstr>0年财报</vt:lpstr>
      <vt:lpstr>1年经营</vt:lpstr>
      <vt:lpstr>1年财报</vt:lpstr>
      <vt:lpstr>2年经营</vt:lpstr>
      <vt:lpstr>2年财报</vt:lpstr>
      <vt:lpstr>3年经营</vt:lpstr>
      <vt:lpstr>3年财报</vt:lpstr>
      <vt:lpstr>4年经营</vt:lpstr>
      <vt:lpstr>4年财报</vt:lpstr>
      <vt:lpstr>5年经营</vt:lpstr>
      <vt:lpstr>5年财报</vt:lpstr>
      <vt:lpstr>6年经营</vt:lpstr>
      <vt:lpstr>6年财报</vt:lpstr>
      <vt:lpstr>7年经营</vt:lpstr>
      <vt:lpstr>7年财报</vt:lpstr>
      <vt:lpstr>8年经营</vt:lpstr>
      <vt:lpstr>8年财报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邢志斌</dc:creator>
  <cp:lastModifiedBy>张琳琳</cp:lastModifiedBy>
  <dcterms:created xsi:type="dcterms:W3CDTF">2025-02-08T00:50:00Z</dcterms:created>
  <cp:lastPrinted>2025-03-07T10:03:00Z</cp:lastPrinted>
  <dcterms:modified xsi:type="dcterms:W3CDTF">2026-03-24T10:44:13Z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5B5CDD2ACBC24670BEC6EA52DA4341B7_13</vt:lpwstr>
  </property>
  <property fmtid="{D5CDD505-2E9C-101B-9397-08002B2CF9AE}" pid="3" name="KSOProductBuildVer">
    <vt:lpwstr>2052-12.1.0.23539</vt:lpwstr>
  </property>
  <property fmtid="{D5CDD505-2E9C-101B-9397-08002B2CF9AE}" pid="4" name="CalculationRule">
    <vt:i4>0</vt:i4>
  </property>
</Properties>
</file>