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845" firstSheet="3" activeTab="3"/>
  </bookViews>
  <sheets>
    <sheet name="订单模型" sheetId="1" state="hidden" r:id="rId1"/>
    <sheet name="数量推算" sheetId="4" state="hidden" r:id="rId2"/>
    <sheet name="市场地位（横）" sheetId="93" state="hidden" r:id="rId3"/>
    <sheet name="市场预测" sheetId="89" r:id="rId4"/>
    <sheet name="1年本地" sheetId="135" r:id="rId5"/>
    <sheet name="1年区域" sheetId="132" r:id="rId6"/>
    <sheet name="1年全国" sheetId="136" r:id="rId7"/>
    <sheet name="1年全球" sheetId="137" r:id="rId8"/>
    <sheet name="2年本地" sheetId="144" r:id="rId9"/>
    <sheet name="2年区域" sheetId="145" r:id="rId10"/>
    <sheet name="2年全国" sheetId="146" r:id="rId11"/>
    <sheet name="2年全球" sheetId="147" r:id="rId12"/>
    <sheet name="3年本地" sheetId="148" r:id="rId13"/>
    <sheet name="3年区域" sheetId="149" r:id="rId14"/>
    <sheet name="3年全国" sheetId="150" r:id="rId15"/>
    <sheet name="3年全球" sheetId="151" r:id="rId16"/>
    <sheet name="4年本地" sheetId="152" r:id="rId17"/>
    <sheet name="4年区域" sheetId="153" r:id="rId18"/>
    <sheet name="4年全国" sheetId="154" r:id="rId19"/>
    <sheet name="4年全球" sheetId="155" r:id="rId20"/>
    <sheet name="5年本地" sheetId="156" r:id="rId21"/>
    <sheet name="5年区域" sheetId="157" r:id="rId22"/>
    <sheet name="5年全国" sheetId="158" r:id="rId23"/>
    <sheet name="5年全球" sheetId="159" r:id="rId24"/>
    <sheet name="6年本地" sheetId="160" r:id="rId25"/>
    <sheet name="6年区域" sheetId="161" r:id="rId26"/>
    <sheet name="6年全国" sheetId="162" r:id="rId27"/>
    <sheet name="6年全球" sheetId="163" r:id="rId28"/>
    <sheet name="7年本地" sheetId="164" r:id="rId29"/>
    <sheet name="7年区域" sheetId="165" r:id="rId30"/>
    <sheet name="7年全国" sheetId="166" r:id="rId31"/>
    <sheet name="7年全球" sheetId="167" r:id="rId32"/>
    <sheet name="8年本地" sheetId="168" r:id="rId33"/>
    <sheet name="8年区域" sheetId="169" r:id="rId34"/>
    <sheet name="8年全国" sheetId="170" r:id="rId35"/>
    <sheet name="8年全球" sheetId="171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<sst xmlns="http://schemas.openxmlformats.org/spreadsheetml/2006/main" count="20476" uniqueCount="169">
  <si>
    <t>类型</t>
  </si>
  <si>
    <t>数量</t>
  </si>
  <si>
    <t>分项</t>
  </si>
  <si>
    <t>控制参数</t>
  </si>
  <si>
    <t>贸易
项目</t>
  </si>
  <si>
    <t>总额</t>
  </si>
  <si>
    <t>单价</t>
  </si>
  <si>
    <t>集成
项目</t>
  </si>
  <si>
    <t>服务
项目</t>
  </si>
  <si>
    <t>科创
项目</t>
  </si>
  <si>
    <t>价格因素</t>
  </si>
  <si>
    <t>严重过剩</t>
  </si>
  <si>
    <t>供大于求</t>
  </si>
  <si>
    <t>供略大于求</t>
  </si>
  <si>
    <t>供求平衡</t>
  </si>
  <si>
    <t>需求较大</t>
  </si>
  <si>
    <t>需求旺盛</t>
  </si>
  <si>
    <t>供不应求</t>
  </si>
  <si>
    <t>数量因素</t>
  </si>
  <si>
    <t>前景较差</t>
  </si>
  <si>
    <t>前景不明</t>
  </si>
  <si>
    <t>前景一般</t>
  </si>
  <si>
    <t>前景正常</t>
  </si>
  <si>
    <t>前景明朗</t>
  </si>
  <si>
    <t>前景良好</t>
  </si>
  <si>
    <t>前景较好</t>
  </si>
  <si>
    <t>公司数</t>
  </si>
  <si>
    <t>类别</t>
  </si>
  <si>
    <t>贸易项目</t>
  </si>
  <si>
    <t>集成项目</t>
  </si>
  <si>
    <t>服务项目</t>
  </si>
  <si>
    <t>科创项目</t>
  </si>
  <si>
    <t>本地市场</t>
  </si>
  <si>
    <t>全国市场</t>
  </si>
  <si>
    <t>亚太市场</t>
  </si>
  <si>
    <t>全球市场</t>
  </si>
  <si>
    <t>第一年</t>
  </si>
  <si>
    <t>区域</t>
  </si>
  <si>
    <t>本地</t>
  </si>
  <si>
    <t>全国</t>
  </si>
  <si>
    <t>亚太</t>
  </si>
  <si>
    <t>全球</t>
  </si>
  <si>
    <t>总计</t>
  </si>
  <si>
    <t>贸易</t>
  </si>
  <si>
    <t>集成</t>
  </si>
  <si>
    <t>服务</t>
  </si>
  <si>
    <t>科创</t>
  </si>
  <si>
    <t>地位</t>
  </si>
  <si>
    <t>份额</t>
  </si>
  <si>
    <t>占比</t>
  </si>
  <si>
    <t>1组</t>
  </si>
  <si>
    <t>第一年市占比</t>
  </si>
  <si>
    <t>2组</t>
  </si>
  <si>
    <t>3组</t>
  </si>
  <si>
    <t>4组</t>
  </si>
  <si>
    <t>5组</t>
  </si>
  <si>
    <t>6组</t>
  </si>
  <si>
    <t>7组</t>
  </si>
  <si>
    <t>8组</t>
  </si>
  <si>
    <t>9组</t>
  </si>
  <si>
    <t>10组</t>
  </si>
  <si>
    <t>11组</t>
  </si>
  <si>
    <t>12组</t>
  </si>
  <si>
    <t>13组</t>
  </si>
  <si>
    <t>14组</t>
  </si>
  <si>
    <t>15组</t>
  </si>
  <si>
    <t>年度</t>
  </si>
  <si>
    <t>第二年</t>
  </si>
  <si>
    <t>第二年市占比</t>
  </si>
  <si>
    <t>第三年</t>
  </si>
  <si>
    <t>第三年市占比</t>
  </si>
  <si>
    <t>第四年</t>
  </si>
  <si>
    <t>第四年市占比</t>
  </si>
  <si>
    <t>第五年</t>
  </si>
  <si>
    <t>第五年市占比</t>
  </si>
  <si>
    <t>第六年</t>
  </si>
  <si>
    <t>第六年市占比</t>
  </si>
  <si>
    <t>第七年</t>
  </si>
  <si>
    <t>第七年市占比</t>
  </si>
  <si>
    <t>第八年</t>
  </si>
  <si>
    <t>第八年市占比</t>
  </si>
  <si>
    <t>市场预测（1-3年）</t>
  </si>
  <si>
    <t>区域市场</t>
  </si>
  <si>
    <r>
      <rPr>
        <b/>
        <sz val="20"/>
        <color theme="1"/>
        <rFont val="方正仿宋_GB2312"/>
        <charset val="134"/>
      </rPr>
      <t>第一年：</t>
    </r>
    <r>
      <rPr>
        <sz val="20"/>
        <color theme="1"/>
        <rFont val="方正仿宋_GB2312"/>
        <charset val="134"/>
      </rPr>
      <t xml:space="preserve">以代办过检为核心冲顶销量，稳居本地市场主力；两舱贵宾初步试水，贵宾及会员定制尚未布局，以高性价比代检产品快速打开市场、建立认知。
</t>
    </r>
    <r>
      <rPr>
        <b/>
        <sz val="20"/>
        <color theme="1"/>
        <rFont val="方正仿宋_GB2312"/>
        <charset val="134"/>
      </rPr>
      <t>第二年：</t>
    </r>
    <r>
      <rPr>
        <sz val="20"/>
        <color theme="1"/>
        <rFont val="方正仿宋_GB2312"/>
        <charset val="134"/>
      </rPr>
      <t xml:space="preserve">代办过检销量回落但仍占主导，两舱贵宾翻倍增长成第二增长曲线，商务贵宾零到一突破，会员定制启动布局，产品由单一转向多元梯队。
</t>
    </r>
    <r>
      <rPr>
        <b/>
        <sz val="20"/>
        <color theme="1"/>
        <rFont val="方正仿宋_GB2312"/>
        <charset val="134"/>
      </rPr>
      <t>第三年：</t>
    </r>
    <r>
      <rPr>
        <sz val="20"/>
        <color theme="1"/>
        <rFont val="方正仿宋_GB2312"/>
        <charset val="134"/>
      </rPr>
      <t>代办过检持续下滑，两舱贵宾规模稳定，商务贵宾反超成增长核心，会员定制规模化落地，形成托底 — 稳盘 — 引领的成熟结构，实现从规模扩张到价值升级，筑牢区域壁垒。</t>
    </r>
  </si>
  <si>
    <t>代办过检</t>
  </si>
  <si>
    <t>两舱贵宾</t>
  </si>
  <si>
    <t>商务贵宾</t>
  </si>
  <si>
    <t>会员定制</t>
  </si>
  <si>
    <t>市场总量</t>
  </si>
  <si>
    <r>
      <rPr>
        <b/>
        <sz val="20"/>
        <color theme="1"/>
        <rFont val="方正仿宋_GB2312"/>
        <charset val="134"/>
      </rPr>
      <t>第一年：</t>
    </r>
    <r>
      <rPr>
        <sz val="20"/>
        <color theme="1"/>
        <rFont val="方正仿宋_GB2312"/>
        <charset val="134"/>
      </rPr>
      <t xml:space="preserve">市场启动阶段，四类产品尚未形成有效销量，重点开展调研、建渠道、树品牌，为产品落地夯实基础。
</t>
    </r>
    <r>
      <rPr>
        <b/>
        <sz val="20"/>
        <color theme="1"/>
        <rFont val="方正仿宋_GB2312"/>
        <charset val="134"/>
      </rPr>
      <t>第二年：</t>
    </r>
    <r>
      <rPr>
        <sz val="20"/>
        <color theme="1"/>
        <rFont val="方正仿宋_GB2312"/>
        <charset val="134"/>
      </rPr>
      <t xml:space="preserve">代办过检率先规模化突破，成为核心增长引擎；两舱贵宾同步放量，贵宾与会员定制完成试点破零，搭建完整产品矩阵，快速抢占区域市场。
</t>
    </r>
    <r>
      <rPr>
        <b/>
        <sz val="20"/>
        <color theme="1"/>
        <rFont val="方正仿宋_GB2312"/>
        <charset val="134"/>
      </rPr>
      <t>第三年：</t>
    </r>
    <r>
      <rPr>
        <sz val="20"/>
        <color theme="1"/>
        <rFont val="方正仿宋_GB2312"/>
        <charset val="134"/>
      </rPr>
      <t xml:space="preserve">代办过检小幅回落仍为主力，两舱与商务贵宾稳步增长；会员定制实现跨越式反超，成为新增长极，形成 “规模 + 价值” 双轮驱动格局，完成市场深度渗透与品牌占位。
</t>
    </r>
  </si>
  <si>
    <t>控制台</t>
  </si>
  <si>
    <t>公司数量：</t>
  </si>
  <si>
    <t>代检数量控制</t>
  </si>
  <si>
    <t>两舱数量控制</t>
  </si>
  <si>
    <t>贵宾数量控制</t>
  </si>
  <si>
    <t>定制数量控制</t>
  </si>
  <si>
    <t>订单总数</t>
  </si>
  <si>
    <t>年度订单总数</t>
  </si>
  <si>
    <r>
      <rPr>
        <b/>
        <sz val="20"/>
        <color theme="1"/>
        <rFont val="方正仿宋_GB2312"/>
        <charset val="134"/>
      </rPr>
      <t>前两年：</t>
    </r>
    <r>
      <rPr>
        <sz val="20"/>
        <color theme="1"/>
        <rFont val="方正仿宋_GB2312"/>
        <charset val="134"/>
      </rPr>
      <t xml:space="preserve">全国市场筹备阶段，四类产品尚未规模化起量，重点搭建渠道网络、完善两舱体系、开展品牌推广，为全面爆发夯实基础。
</t>
    </r>
    <r>
      <rPr>
        <b/>
        <sz val="20"/>
        <color theme="1"/>
        <rFont val="方正仿宋_GB2312"/>
        <charset val="134"/>
      </rPr>
      <t>第三年：</t>
    </r>
    <r>
      <rPr>
        <sz val="20"/>
        <color theme="1"/>
        <rFont val="方正仿宋_GB2312"/>
        <charset val="134"/>
      </rPr>
      <t>全国市场全面起量，代办过检规模领跑、支撑核心销量，两舱贵宾形成第二增长曲线，商务贵宾规模化落地、会员定制破零，构建 “全国铺量 + 高端占位” 布局，树立行业影响力。</t>
    </r>
  </si>
  <si>
    <r>
      <rPr>
        <b/>
        <sz val="20"/>
        <color theme="1"/>
        <rFont val="方正仿宋_GB2312"/>
        <charset val="134"/>
      </rPr>
      <t>第一年、第二年、第三年：</t>
    </r>
    <r>
      <rPr>
        <sz val="20"/>
        <color theme="1"/>
        <rFont val="方正仿宋_GB2312"/>
        <charset val="134"/>
      </rPr>
      <t>全球市场四类产品均未实现有效销量，核心聚焦国际市场调研、海外合规体系搭建、跨境渠道布局、国际品牌推广，为后续产品出海、全球市场拓展做足前期准备。</t>
    </r>
  </si>
  <si>
    <t>市场预测（4-5年）</t>
  </si>
  <si>
    <r>
      <rPr>
        <b/>
        <sz val="20"/>
        <color theme="1"/>
        <rFont val="方正仿宋_GB2312"/>
        <charset val="134"/>
      </rPr>
      <t>第四年：</t>
    </r>
    <r>
      <rPr>
        <sz val="20"/>
        <color theme="1"/>
        <rFont val="方正仿宋_GB2312"/>
        <charset val="134"/>
      </rPr>
      <t xml:space="preserve">代办过检为本地销量主力，两舱贵宾紧随其后，商务贵宾与会员定制初步放量，形成 “代检 + 两舱” 双主力、高端产品补位的多元格局。
</t>
    </r>
    <r>
      <rPr>
        <b/>
        <sz val="20"/>
        <color theme="1"/>
        <rFont val="方正仿宋_GB2312"/>
        <charset val="134"/>
      </rPr>
      <t>第五年：</t>
    </r>
    <r>
      <rPr>
        <sz val="20"/>
        <color theme="1"/>
        <rFont val="方正仿宋_GB2312"/>
        <charset val="134"/>
      </rPr>
      <t>代检与两舱贵宾销量回落、角色转为辅助；商务贵宾跨越式增长成核心，会员定制同步放量，形成 “双高端引领” 格局，市场实现从规模到价值的升级。</t>
    </r>
  </si>
  <si>
    <r>
      <rPr>
        <b/>
        <sz val="20"/>
        <color theme="1"/>
        <rFont val="方正仿宋_GB2312"/>
        <charset val="134"/>
      </rPr>
      <t>第四年：</t>
    </r>
    <r>
      <rPr>
        <sz val="20"/>
        <color theme="1"/>
        <rFont val="方正仿宋_GB2312"/>
        <charset val="134"/>
      </rPr>
      <t xml:space="preserve">代办过检为区域核心主力，两舱贵宾稳定支撑，贵宾与会员定制规模化放量，产品矩阵多元升级，市场渗透率持续提升。
</t>
    </r>
    <r>
      <rPr>
        <b/>
        <sz val="20"/>
        <color theme="1"/>
        <rFont val="方正仿宋_GB2312"/>
        <charset val="134"/>
      </rPr>
      <t>第五年：</t>
    </r>
    <r>
      <rPr>
        <sz val="20"/>
        <color theme="1"/>
        <rFont val="方正仿宋_GB2312"/>
        <charset val="134"/>
      </rPr>
      <t>代检与两舱贵宾销量下滑、地位弱化；商务贵宾爆发式增长成核心引擎，会员定制快速追赶，形成 “高端领跑、代检托底” 格局，实现市场深度渗透与份额巩固。</t>
    </r>
  </si>
  <si>
    <r>
      <rPr>
        <b/>
        <sz val="20"/>
        <color theme="1"/>
        <rFont val="方正仿宋_GB2312"/>
        <charset val="134"/>
      </rPr>
      <t>第四年：</t>
    </r>
    <r>
      <rPr>
        <sz val="20"/>
        <color theme="1"/>
        <rFont val="方正仿宋_GB2312"/>
        <charset val="134"/>
      </rPr>
      <t xml:space="preserve">代办过检作为全国主力率先规模化，两舱贵宾同步放量，贵宾与会员定制完成初步布局，为后续增长夯实产品基础。
</t>
    </r>
    <r>
      <rPr>
        <b/>
        <sz val="20"/>
        <color theme="1"/>
        <rFont val="方正仿宋_GB2312"/>
        <charset val="134"/>
      </rPr>
      <t>第五年：</t>
    </r>
    <r>
      <rPr>
        <sz val="20"/>
        <color theme="1"/>
        <rFont val="方正仿宋_GB2312"/>
        <charset val="134"/>
      </rPr>
      <t>代办过检小幅回落仍保有规模，两舱贵宾稳步增长；商务贵宾与会员定制双双爆发并领跑市场，形成 “双高端引领、全品类协同” 格局，全国化布局成效凸显，市场份额快速提升。</t>
    </r>
  </si>
  <si>
    <r>
      <rPr>
        <b/>
        <sz val="20"/>
        <color theme="1"/>
        <rFont val="方正仿宋_GB2312"/>
        <charset val="134"/>
      </rPr>
      <t>第四年：</t>
    </r>
    <r>
      <rPr>
        <sz val="20"/>
        <color theme="1"/>
        <rFont val="方正仿宋_GB2312"/>
        <charset val="134"/>
      </rPr>
      <t xml:space="preserve">代办过检作为全球首发主力小规模起步，两舱、商务贵宾及会员定制逐步跟进，重点搭建海外渠道、适配合规、培育客户，以试水拓客为主。
</t>
    </r>
    <r>
      <rPr>
        <b/>
        <sz val="20"/>
        <color theme="1"/>
        <rFont val="方正仿宋_GB2312"/>
        <charset val="134"/>
      </rPr>
      <t>第五年：</t>
    </r>
    <r>
      <rPr>
        <sz val="20"/>
        <color theme="1"/>
        <rFont val="方正仿宋_GB2312"/>
        <charset val="134"/>
      </rPr>
      <t>全品类销量均衡增长、差距收窄，全球市场前期布局完成，渗透率提升，为规模化扩张夯实基础，国际化潜力逐步释放。</t>
    </r>
  </si>
  <si>
    <t>市场预测（6-8年）</t>
  </si>
  <si>
    <r>
      <rPr>
        <b/>
        <sz val="20"/>
        <color theme="1"/>
        <rFont val="方正仿宋_GB2312"/>
        <charset val="134"/>
      </rPr>
      <t>第六年：</t>
    </r>
    <r>
      <rPr>
        <sz val="20"/>
        <color theme="1"/>
        <rFont val="方正仿宋_GB2312"/>
        <charset val="134"/>
      </rPr>
      <t xml:space="preserve">代检保有规模但非主力，两舱贵宾小幅收缩；商务贵宾强势放量，会员定制同步增长，本地市场进入 “双高端引领” 阶段。
</t>
    </r>
    <r>
      <rPr>
        <b/>
        <sz val="20"/>
        <color theme="1"/>
        <rFont val="方正仿宋_GB2312"/>
        <charset val="134"/>
      </rPr>
      <t>第七年：</t>
    </r>
    <r>
      <rPr>
        <sz val="20"/>
        <color theme="1"/>
        <rFont val="方正仿宋_GB2312"/>
        <charset val="134"/>
      </rPr>
      <t xml:space="preserve">代检持续萎缩，两舱贵宾退居托底；商务贵宾爆发成第一增长极，会员定制稳步攀升，高端主导格局确立。
</t>
    </r>
    <r>
      <rPr>
        <b/>
        <sz val="20"/>
        <color theme="1"/>
        <rFont val="方正仿宋_GB2312"/>
        <charset val="134"/>
      </rPr>
      <t>第八年：</t>
    </r>
    <r>
      <rPr>
        <sz val="20"/>
        <color theme="1"/>
        <rFont val="方正仿宋_GB2312"/>
        <charset val="134"/>
      </rPr>
      <t>代检基本退出，两舱贵宾占比极低；商务贵宾高位领跑、会员定制持续扩容，共同成为核心支柱，市场成熟度与价值达峰值。</t>
    </r>
  </si>
  <si>
    <r>
      <rPr>
        <b/>
        <sz val="20"/>
        <color theme="1"/>
        <rFont val="方正仿宋_GB2312"/>
        <charset val="134"/>
      </rPr>
      <t>第六年：</t>
    </r>
    <r>
      <rPr>
        <sz val="20"/>
        <color theme="1"/>
        <rFont val="方正仿宋_GB2312"/>
        <charset val="134"/>
      </rPr>
      <t xml:space="preserve">代办过检为区域核心支撑，与两舱贵宾构成双主力，贵宾及会员定制规模化放量，产品矩阵趋于完善。
</t>
    </r>
    <r>
      <rPr>
        <b/>
        <sz val="20"/>
        <color theme="1"/>
        <rFont val="方正仿宋_GB2312"/>
        <charset val="134"/>
      </rPr>
      <t>第七年：</t>
    </r>
    <r>
      <rPr>
        <sz val="20"/>
        <color theme="1"/>
        <rFont val="方正仿宋_GB2312"/>
        <charset val="134"/>
      </rPr>
      <t xml:space="preserve">代检与两舱贵宾销量回落、淡出主导；商务贵宾跨越式增长成主力，会员定制协同上行，市场由规模驱动转向价值驱动。
</t>
    </r>
    <r>
      <rPr>
        <b/>
        <sz val="20"/>
        <color theme="1"/>
        <rFont val="方正仿宋_GB2312"/>
        <charset val="134"/>
      </rPr>
      <t>第八年：</t>
    </r>
    <r>
      <rPr>
        <sz val="20"/>
        <color theme="1"/>
        <rFont val="方正仿宋_GB2312"/>
        <charset val="134"/>
      </rPr>
      <t>代检与两舱贵宾基本退出核心；商务贵宾高位领跑，会员定制持续扩容，形成双高端引领，实现区域全域渗透与份额巩固。</t>
    </r>
  </si>
  <si>
    <r>
      <rPr>
        <b/>
        <sz val="20"/>
        <color theme="1"/>
        <rFont val="方正仿宋_GB2312"/>
        <charset val="134"/>
      </rPr>
      <t>第六年：</t>
    </r>
    <r>
      <rPr>
        <sz val="20"/>
        <color theme="1"/>
        <rFont val="方正仿宋_GB2312"/>
        <charset val="134"/>
      </rPr>
      <t xml:space="preserve">代办过检为全国核心主力并实现规模化覆盖，两舱贵宾稳定支撑，贵宾与会员定制快速成长，产品梯队初步成型。
</t>
    </r>
    <r>
      <rPr>
        <b/>
        <sz val="20"/>
        <color theme="1"/>
        <rFont val="方正仿宋_GB2312"/>
        <charset val="134"/>
      </rPr>
      <t>第七年：</t>
    </r>
    <r>
      <rPr>
        <sz val="20"/>
        <color theme="1"/>
        <rFont val="方正仿宋_GB2312"/>
        <charset val="134"/>
      </rPr>
      <t xml:space="preserve">代检与两舱贵宾销量大幅回落、淡出主导；商务贵宾爆发成为第一增长引擎，会员定制协同攀升，高价值产品主导格局初步形成。
</t>
    </r>
    <r>
      <rPr>
        <b/>
        <sz val="20"/>
        <color theme="1"/>
        <rFont val="方正仿宋_GB2312"/>
        <charset val="134"/>
      </rPr>
      <t>第八年：</t>
    </r>
    <r>
      <rPr>
        <sz val="20"/>
        <color theme="1"/>
        <rFont val="方正仿宋_GB2312"/>
        <charset val="134"/>
      </rPr>
      <t>代检与两舱贵宾基本退出核心角色；商务贵宾高位领跑、会员定制持续扩容，双高产品全面支撑市场，全国化深化与行业影响力持续增强。</t>
    </r>
  </si>
  <si>
    <r>
      <rPr>
        <b/>
        <sz val="20"/>
        <color theme="1"/>
        <rFont val="方正仿宋_GB2312"/>
        <charset val="134"/>
      </rPr>
      <t>第六年：</t>
    </r>
    <r>
      <rPr>
        <sz val="20"/>
        <color theme="1"/>
        <rFont val="方正仿宋_GB2312"/>
        <charset val="134"/>
      </rPr>
      <t xml:space="preserve">代办过检作为全球首发主力小规模起步，其余三类产品逐步跟进，重点搭建海外渠道、完成合规适配、培育客户认知，以市场试水为主。
</t>
    </r>
    <r>
      <rPr>
        <b/>
        <sz val="20"/>
        <color theme="1"/>
        <rFont val="方正仿宋_GB2312"/>
        <charset val="134"/>
      </rPr>
      <t>第七年：</t>
    </r>
    <r>
      <rPr>
        <sz val="20"/>
        <color theme="1"/>
        <rFont val="方正仿宋_GB2312"/>
        <charset val="134"/>
      </rPr>
      <t xml:space="preserve">全品类持续增长且销量差距收窄，前期布局完成、渗透率提升，海外拓展基础进一步夯实。
</t>
    </r>
    <r>
      <rPr>
        <b/>
        <sz val="20"/>
        <color theme="1"/>
        <rFont val="方正仿宋_GB2312"/>
        <charset val="134"/>
      </rPr>
      <t>第八年：</t>
    </r>
    <r>
      <rPr>
        <sz val="20"/>
        <color theme="1"/>
        <rFont val="方正仿宋_GB2312"/>
        <charset val="134"/>
      </rPr>
      <t>全品类保持增长，商务贵宾与会员定制增速领跑、规模快速追赶，形成协同上升格局，国际化产品与市场空间全面打开，为全球扩张筑牢支撑。</t>
    </r>
  </si>
  <si>
    <t>上年市场地位</t>
  </si>
  <si>
    <t>组号</t>
  </si>
  <si>
    <t>市场地位</t>
  </si>
  <si>
    <t>本年市场地位</t>
  </si>
  <si>
    <t>订单总额</t>
  </si>
  <si>
    <t>市场投入</t>
  </si>
  <si>
    <t>代办过检市场投入</t>
  </si>
  <si>
    <t>两舱贵宾市场投入</t>
  </si>
  <si>
    <t>商务贵宾市场投入</t>
  </si>
  <si>
    <t>会员定制市场投入</t>
  </si>
  <si>
    <t>总额 ：</t>
  </si>
  <si>
    <t>M</t>
  </si>
  <si>
    <t>第一年：以代办过检为绝对核心，销量规模达到峰值，是本地市场的绝对主力；两舱贵宾仅实现小规模起步，贵宾、会员定制尚未形成有效布局，整体以低门槛、高性价比的代检款打开本地市场，快速建立客户认知与渠道覆盖。
第二年：代办过检销量较第一年明显回落，但仍保持市场主导地位；两舱贵宾实现翻倍式增长，成为本地市场第二增长曲线；商务贵宾完成从 0 到 1 的突破，会员定制同步启动布局，产品结构从 “单一代检款” 向 “多元梯队” 转型，适配本地客户的分层需求。
第三年：代办过检销量持续下行，两舱贵宾规模保持稳定，商务贵宾销量反超两舱贵宾，成为本地市场增长核心；会员定制实现规模化落地，形成 “代办过检托底、两舱贵宾稳盘、贵宾 + 会员定制引领增长” 的成熟结构，完成本地市场从 “规模扩张” 到 “价值升级” 的转型，筑牢区域竞争壁垒。</t>
  </si>
  <si>
    <t>数量 ：</t>
  </si>
  <si>
    <t>单价 ：</t>
  </si>
  <si>
    <t>账期 ：</t>
  </si>
  <si>
    <t>季</t>
  </si>
  <si>
    <t>01本地市场</t>
  </si>
  <si>
    <t xml:space="preserve">第一年：区域市场处于启动期，代检、两舱、贵宾、定制四类产品均未形成有效销量，以市场调研、渠道搭建、品牌渗透为核心工作，为后续产品落地做足准备。
第二年：代办过检率先实现规模化突破，成为区域市场的核心增长引擎；两舱贵宾同步放量，规模仅次于代办过检；贵宾、会员定制完成试点布局，实现从 0 到 1 的销量突破，完成区域市场的产品矩阵搭建，快速抢占区域份额。
第三年：代办过检销量较第二年小幅回落，但仍保持市场主力地位；两舱贵宾规模稳步增长，商务贵宾持续放量；会员定制实现跨越式增长，销量反超商务贵宾，成为区域市场新的增长极，形成 “代办过检铺规模、会员定制提价值” 的良性结构，完成区域市场的深度渗透与品牌占位。
</t>
  </si>
  <si>
    <t>第一年、第二年：全国市场处于筹备期，四类产品均未实现规模化销量，核心聚焦全国渠道网络搭建、两舱化体系建设、全国品牌推广，为第三年的全面爆发奠定代检。
第三年：全国市场实现全面起量，代办过检以绝对规模领跑，成为全国市场的核心销量支撑；两舱贵宾紧随其后，形成稳定的第二增长曲线；商务贵宾实现规模化落地，会员定制完成从 0 到 1 的突破，形成 “代办过检铺全国、高价值产品抢高端” 的全国化布局，快速建立行业级影响力。</t>
  </si>
  <si>
    <t>订单数量控制</t>
  </si>
  <si>
    <t>商品均价</t>
  </si>
  <si>
    <t>波动系数（1-5）</t>
  </si>
  <si>
    <t>订单总数量</t>
  </si>
  <si>
    <t>最小订单数量</t>
  </si>
  <si>
    <t>最大订单数量</t>
  </si>
  <si>
    <t>平均订单量</t>
  </si>
  <si>
    <t>订单总金额</t>
  </si>
  <si>
    <t>01区域市场</t>
  </si>
  <si>
    <t>01全国市场</t>
  </si>
  <si>
    <t>01全球市场</t>
  </si>
  <si>
    <t>02本地市场</t>
  </si>
  <si>
    <t>02区域市场</t>
  </si>
  <si>
    <t>02全国市场</t>
  </si>
  <si>
    <t>02全球市场</t>
  </si>
  <si>
    <t>03本地市场</t>
  </si>
  <si>
    <t>03区域市场</t>
  </si>
  <si>
    <t>03全国市场</t>
  </si>
  <si>
    <t>03全球市场</t>
  </si>
  <si>
    <t>04本地市场</t>
  </si>
  <si>
    <t>04区域市场</t>
  </si>
  <si>
    <t>04全国市场</t>
  </si>
  <si>
    <t>04全球市场</t>
  </si>
  <si>
    <t>05本地市场</t>
  </si>
  <si>
    <t>05区域市场</t>
  </si>
  <si>
    <t>05全国市场</t>
  </si>
  <si>
    <t>05全球市场</t>
  </si>
  <si>
    <t>06本地市场</t>
  </si>
  <si>
    <t>06区域市场</t>
  </si>
  <si>
    <t>06全国市场</t>
  </si>
  <si>
    <t>06全球市场</t>
  </si>
  <si>
    <t>07本地市场</t>
  </si>
  <si>
    <t>07区域市场</t>
  </si>
  <si>
    <t>07全国市场</t>
  </si>
  <si>
    <t>07全球市场</t>
  </si>
  <si>
    <t>08本地市场</t>
  </si>
  <si>
    <t>08区域市场</t>
  </si>
  <si>
    <t>08全国市场</t>
  </si>
  <si>
    <t>08全球市场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</si>
</sst>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 "/>
    <numFmt numFmtId="181" formatCode="0.00_ "/>
  </numFmts>
  <fonts count="3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2"/>
      <color theme="1"/>
      <name val="黑体"/>
      <charset val="134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sz val="22"/>
      <color theme="1"/>
      <name val="宋体"/>
      <charset val="134"/>
      <scheme val="minor"/>
    </font>
    <font>
      <sz val="20"/>
      <color theme="1"/>
      <name val="黑体"/>
      <charset val="134"/>
    </font>
    <font>
      <sz val="16"/>
      <color theme="1"/>
      <name val="黑体"/>
      <charset val="134"/>
    </font>
    <font>
      <sz val="18"/>
      <color theme="1"/>
      <name val="黑体"/>
      <charset val="134"/>
    </font>
    <font>
      <sz val="28"/>
      <color theme="1"/>
      <name val="方正小标宋简体"/>
      <charset val="134"/>
    </font>
    <font>
      <sz val="14"/>
      <color theme="1"/>
      <name val="宋体"/>
      <charset val="134"/>
      <scheme val="minor"/>
    </font>
    <font>
      <b/>
      <sz val="20"/>
      <color theme="1"/>
      <name val="方正仿宋_GB2312"/>
      <charset val="134"/>
    </font>
    <font>
      <sz val="20"/>
      <color theme="1"/>
      <name val="方正仿宋_GB2312"/>
      <charset val="134"/>
    </font>
    <font>
      <b/>
      <sz val="4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6" tint="0.799890133365886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8" borderId="20" applyNumberFormat="0" applyAlignment="0" applyProtection="0">
      <alignment vertical="center"/>
    </xf>
    <xf numFmtId="0" fontId="27" fillId="19" borderId="21" applyNumberFormat="0" applyAlignment="0" applyProtection="0">
      <alignment vertical="center"/>
    </xf>
    <xf numFmtId="0" fontId="28" fillId="19" borderId="20" applyNumberFormat="0" applyAlignment="0" applyProtection="0">
      <alignment vertical="center"/>
    </xf>
    <xf numFmtId="0" fontId="29" fillId="20" borderId="22" applyNumberFormat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180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4" borderId="5" xfId="0" applyFont="1" applyFill="1" applyBorder="1">
      <alignment vertical="center"/>
    </xf>
    <xf numFmtId="0" fontId="1" fillId="5" borderId="5" xfId="0" applyFont="1" applyFill="1" applyBorder="1">
      <alignment vertical="center"/>
    </xf>
    <xf numFmtId="0" fontId="1" fillId="6" borderId="5" xfId="0" applyFont="1" applyFill="1" applyBorder="1">
      <alignment vertical="center"/>
    </xf>
    <xf numFmtId="0" fontId="3" fillId="7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181" fontId="3" fillId="0" borderId="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9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80" fontId="2" fillId="5" borderId="0" xfId="0" applyNumberFormat="1" applyFont="1" applyFill="1" applyAlignment="1">
      <alignment horizontal="center" vertical="center" wrapText="1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1" fillId="9" borderId="5" xfId="0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80" fontId="10" fillId="0" borderId="5" xfId="0" applyNumberFormat="1" applyFont="1" applyBorder="1" applyAlignment="1">
      <alignment vertical="center"/>
    </xf>
    <xf numFmtId="0" fontId="10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>
      <alignment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>
      <alignment vertical="center"/>
    </xf>
    <xf numFmtId="0" fontId="17" fillId="0" borderId="13" xfId="0" applyFont="1" applyBorder="1">
      <alignment vertical="center"/>
    </xf>
    <xf numFmtId="0" fontId="17" fillId="0" borderId="16" xfId="0" applyFont="1" applyBorder="1">
      <alignment vertical="center"/>
    </xf>
    <xf numFmtId="0" fontId="17" fillId="0" borderId="15" xfId="0" applyFont="1" applyBorder="1">
      <alignment vertical="center"/>
    </xf>
    <xf numFmtId="0" fontId="17" fillId="0" borderId="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right" vertical="center"/>
    </xf>
    <xf numFmtId="0" fontId="17" fillId="0" borderId="13" xfId="0" applyFont="1" applyBorder="1" applyAlignment="1">
      <alignment horizontal="right" vertical="center"/>
    </xf>
    <xf numFmtId="0" fontId="17" fillId="0" borderId="16" xfId="0" applyFont="1" applyBorder="1" applyAlignment="1">
      <alignment horizontal="right" vertical="center"/>
    </xf>
    <xf numFmtId="0" fontId="17" fillId="0" borderId="15" xfId="0" applyFont="1" applyBorder="1" applyAlignment="1">
      <alignment horizontal="right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 wrapText="1"/>
    </xf>
    <xf numFmtId="0" fontId="17" fillId="16" borderId="5" xfId="0" applyFont="1" applyFill="1" applyBorder="1" applyAlignment="1">
      <alignment horizontal="center" vertical="center"/>
    </xf>
    <xf numFmtId="0" fontId="17" fillId="16" borderId="5" xfId="0" applyFont="1" applyFill="1" applyBorder="1" applyAlignment="1">
      <alignment horizontal="right" vertical="center"/>
    </xf>
    <xf numFmtId="0" fontId="17" fillId="16" borderId="13" xfId="0" applyFont="1" applyFill="1" applyBorder="1" applyAlignment="1">
      <alignment horizontal="right" vertical="center"/>
    </xf>
    <xf numFmtId="0" fontId="17" fillId="16" borderId="16" xfId="0" applyFont="1" applyFill="1" applyBorder="1" applyAlignment="1">
      <alignment horizontal="right" vertical="center"/>
    </xf>
    <xf numFmtId="0" fontId="17" fillId="16" borderId="15" xfId="0" applyFont="1" applyFill="1" applyBorder="1" applyAlignment="1">
      <alignment horizontal="right" vertical="center"/>
    </xf>
    <xf numFmtId="0" fontId="17" fillId="16" borderId="8" xfId="0" applyFont="1" applyFill="1" applyBorder="1" applyAlignment="1">
      <alignment horizontal="center" vertical="center" wrapText="1"/>
    </xf>
    <xf numFmtId="0" fontId="17" fillId="16" borderId="9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3" xfId="0" applyFont="1" applyBorder="1" applyAlignment="1">
      <alignment vertical="center"/>
    </xf>
    <xf numFmtId="9" fontId="17" fillId="0" borderId="13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'市场地位（横）'!$A$4:$A$18</c:f>
              <c:strCache>
                <c:ptCount val="15"/>
                <c:pt idx="0">
                  <c:v>1组</c:v>
                </c:pt>
                <c:pt idx="1">
                  <c:v>2组</c:v>
                </c:pt>
                <c:pt idx="2">
                  <c:v>3组</c:v>
                </c:pt>
                <c:pt idx="3">
                  <c:v>4组</c:v>
                </c:pt>
                <c:pt idx="4">
                  <c:v>5组</c:v>
                </c:pt>
                <c:pt idx="5">
                  <c:v>6组</c:v>
                </c:pt>
                <c:pt idx="6">
                  <c:v>7组</c:v>
                </c:pt>
                <c:pt idx="7">
                  <c:v>8组</c:v>
                </c:pt>
                <c:pt idx="8">
                  <c:v>9组</c:v>
                </c:pt>
                <c:pt idx="9">
                  <c:v>10组</c:v>
                </c:pt>
                <c:pt idx="10">
                  <c:v>11组</c:v>
                </c:pt>
                <c:pt idx="11">
                  <c:v>12组</c:v>
                </c:pt>
                <c:pt idx="12">
                  <c:v>13组</c:v>
                </c:pt>
                <c:pt idx="13">
                  <c:v>14组</c:v>
                </c:pt>
                <c:pt idx="14">
                  <c:v>15组</c:v>
                </c:pt>
              </c:strCache>
            </c:strRef>
          </c:cat>
          <c:val>
            <c:numRef>
              <c:f>'市场地位（横）'!$J$4:$J$18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55296"/>
        <c:axId val="161741056"/>
      </c:barChart>
      <c:catAx>
        <c:axId val="708552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1741056"/>
        <c:crosses val="autoZero"/>
        <c:auto val="1"/>
        <c:lblAlgn val="ctr"/>
        <c:lblOffset val="100"/>
        <c:noMultiLvlLbl val="0"/>
      </c:catAx>
      <c:valAx>
        <c:axId val="161741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08552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0b68701-1e18-47b5-9d5d-43a75771efc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'市场地位（横）'!$A$23:$A$37</c:f>
              <c:strCache>
                <c:ptCount val="15"/>
                <c:pt idx="0">
                  <c:v>1组</c:v>
                </c:pt>
                <c:pt idx="1">
                  <c:v>2组</c:v>
                </c:pt>
                <c:pt idx="2">
                  <c:v>3组</c:v>
                </c:pt>
                <c:pt idx="3">
                  <c:v>4组</c:v>
                </c:pt>
                <c:pt idx="4">
                  <c:v>5组</c:v>
                </c:pt>
                <c:pt idx="5">
                  <c:v>6组</c:v>
                </c:pt>
                <c:pt idx="6">
                  <c:v>7组</c:v>
                </c:pt>
                <c:pt idx="7">
                  <c:v>8组</c:v>
                </c:pt>
                <c:pt idx="8">
                  <c:v>9组</c:v>
                </c:pt>
                <c:pt idx="9">
                  <c:v>10组</c:v>
                </c:pt>
                <c:pt idx="10">
                  <c:v>11组</c:v>
                </c:pt>
                <c:pt idx="11">
                  <c:v>12组</c:v>
                </c:pt>
                <c:pt idx="12">
                  <c:v>13组</c:v>
                </c:pt>
                <c:pt idx="13">
                  <c:v>14组</c:v>
                </c:pt>
                <c:pt idx="14">
                  <c:v>15组</c:v>
                </c:pt>
              </c:strCache>
            </c:strRef>
          </c:cat>
          <c:val>
            <c:numRef>
              <c:f>'市场地位（横）'!$J$23:$J$37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41504"/>
        <c:axId val="201543040"/>
      </c:barChart>
      <c:catAx>
        <c:axId val="2015415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1543040"/>
        <c:crosses val="autoZero"/>
        <c:auto val="1"/>
        <c:lblAlgn val="ctr"/>
        <c:lblOffset val="100"/>
        <c:noMultiLvlLbl val="0"/>
      </c:catAx>
      <c:valAx>
        <c:axId val="20154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15415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89e895-39b7-40fd-aab3-1f8adf39532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'市场地位（横）'!$A$42:$A$56</c:f>
              <c:strCache>
                <c:ptCount val="15"/>
                <c:pt idx="0">
                  <c:v>1组</c:v>
                </c:pt>
                <c:pt idx="1">
                  <c:v>2组</c:v>
                </c:pt>
                <c:pt idx="2">
                  <c:v>3组</c:v>
                </c:pt>
                <c:pt idx="3">
                  <c:v>4组</c:v>
                </c:pt>
                <c:pt idx="4">
                  <c:v>5组</c:v>
                </c:pt>
                <c:pt idx="5">
                  <c:v>6组</c:v>
                </c:pt>
                <c:pt idx="6">
                  <c:v>7组</c:v>
                </c:pt>
                <c:pt idx="7">
                  <c:v>8组</c:v>
                </c:pt>
                <c:pt idx="8">
                  <c:v>9组</c:v>
                </c:pt>
                <c:pt idx="9">
                  <c:v>10组</c:v>
                </c:pt>
                <c:pt idx="10">
                  <c:v>11组</c:v>
                </c:pt>
                <c:pt idx="11">
                  <c:v>12组</c:v>
                </c:pt>
                <c:pt idx="12">
                  <c:v>13组</c:v>
                </c:pt>
                <c:pt idx="13">
                  <c:v>14组</c:v>
                </c:pt>
                <c:pt idx="14">
                  <c:v>15组</c:v>
                </c:pt>
              </c:strCache>
            </c:strRef>
          </c:cat>
          <c:val>
            <c:numRef>
              <c:f>'市场地位（横）'!$J$42:$J$56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648320"/>
        <c:axId val="256718336"/>
      </c:barChart>
      <c:catAx>
        <c:axId val="2566483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6718336"/>
        <c:crosses val="autoZero"/>
        <c:auto val="1"/>
        <c:lblAlgn val="ctr"/>
        <c:lblOffset val="100"/>
        <c:noMultiLvlLbl val="0"/>
      </c:catAx>
      <c:valAx>
        <c:axId val="25671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66483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ebd429a-d537-4cce-b69f-da258408301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'市场地位（横）'!$A$61:$A$75</c:f>
              <c:strCache>
                <c:ptCount val="15"/>
                <c:pt idx="0">
                  <c:v>1组</c:v>
                </c:pt>
                <c:pt idx="1">
                  <c:v>2组</c:v>
                </c:pt>
                <c:pt idx="2">
                  <c:v>3组</c:v>
                </c:pt>
                <c:pt idx="3">
                  <c:v>4组</c:v>
                </c:pt>
                <c:pt idx="4">
                  <c:v>5组</c:v>
                </c:pt>
                <c:pt idx="5">
                  <c:v>6组</c:v>
                </c:pt>
                <c:pt idx="6">
                  <c:v>7组</c:v>
                </c:pt>
                <c:pt idx="7">
                  <c:v>8组</c:v>
                </c:pt>
                <c:pt idx="8">
                  <c:v>9组</c:v>
                </c:pt>
                <c:pt idx="9">
                  <c:v>10组</c:v>
                </c:pt>
                <c:pt idx="10">
                  <c:v>11组</c:v>
                </c:pt>
                <c:pt idx="11">
                  <c:v>12组</c:v>
                </c:pt>
                <c:pt idx="12">
                  <c:v>13组</c:v>
                </c:pt>
                <c:pt idx="13">
                  <c:v>14组</c:v>
                </c:pt>
                <c:pt idx="14">
                  <c:v>15组</c:v>
                </c:pt>
              </c:strCache>
            </c:strRef>
          </c:cat>
          <c:val>
            <c:numRef>
              <c:f>'市场地位（横）'!$J$61:$J$75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983488"/>
        <c:axId val="265985024"/>
      </c:barChart>
      <c:catAx>
        <c:axId val="2659834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5985024"/>
        <c:crosses val="autoZero"/>
        <c:auto val="1"/>
        <c:lblAlgn val="ctr"/>
        <c:lblOffset val="100"/>
        <c:noMultiLvlLbl val="0"/>
      </c:catAx>
      <c:valAx>
        <c:axId val="265985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598348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b7b5ef9-002b-44a5-a754-77859198955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'市场地位（横）'!$A$80:$A$94</c:f>
              <c:strCache>
                <c:ptCount val="15"/>
                <c:pt idx="0">
                  <c:v>1组</c:v>
                </c:pt>
                <c:pt idx="1">
                  <c:v>2组</c:v>
                </c:pt>
                <c:pt idx="2">
                  <c:v>3组</c:v>
                </c:pt>
                <c:pt idx="3">
                  <c:v>4组</c:v>
                </c:pt>
                <c:pt idx="4">
                  <c:v>5组</c:v>
                </c:pt>
                <c:pt idx="5">
                  <c:v>6组</c:v>
                </c:pt>
                <c:pt idx="6">
                  <c:v>7组</c:v>
                </c:pt>
                <c:pt idx="7">
                  <c:v>8组</c:v>
                </c:pt>
                <c:pt idx="8">
                  <c:v>9组</c:v>
                </c:pt>
                <c:pt idx="9">
                  <c:v>10组</c:v>
                </c:pt>
                <c:pt idx="10">
                  <c:v>11组</c:v>
                </c:pt>
                <c:pt idx="11">
                  <c:v>12组</c:v>
                </c:pt>
                <c:pt idx="12">
                  <c:v>13组</c:v>
                </c:pt>
                <c:pt idx="13">
                  <c:v>14组</c:v>
                </c:pt>
                <c:pt idx="14">
                  <c:v>15组</c:v>
                </c:pt>
              </c:strCache>
            </c:strRef>
          </c:cat>
          <c:val>
            <c:numRef>
              <c:f>'市场地位（横）'!$J$80:$J$94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317760"/>
        <c:axId val="265348608"/>
      </c:barChart>
      <c:catAx>
        <c:axId val="26531776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5348608"/>
        <c:crosses val="autoZero"/>
        <c:auto val="1"/>
        <c:lblAlgn val="ctr"/>
        <c:lblOffset val="100"/>
        <c:noMultiLvlLbl val="0"/>
      </c:catAx>
      <c:valAx>
        <c:axId val="265348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531776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ca47084-2478-4665-9d70-4cf36241927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'市场地位（横）'!$A$99:$A$113</c:f>
              <c:strCache>
                <c:ptCount val="15"/>
                <c:pt idx="0">
                  <c:v>1组</c:v>
                </c:pt>
                <c:pt idx="1">
                  <c:v>2组</c:v>
                </c:pt>
                <c:pt idx="2">
                  <c:v>3组</c:v>
                </c:pt>
                <c:pt idx="3">
                  <c:v>4组</c:v>
                </c:pt>
                <c:pt idx="4">
                  <c:v>5组</c:v>
                </c:pt>
                <c:pt idx="5">
                  <c:v>6组</c:v>
                </c:pt>
                <c:pt idx="6">
                  <c:v>7组</c:v>
                </c:pt>
                <c:pt idx="7">
                  <c:v>8组</c:v>
                </c:pt>
                <c:pt idx="8">
                  <c:v>9组</c:v>
                </c:pt>
                <c:pt idx="9">
                  <c:v>10组</c:v>
                </c:pt>
                <c:pt idx="10">
                  <c:v>11组</c:v>
                </c:pt>
                <c:pt idx="11">
                  <c:v>12组</c:v>
                </c:pt>
                <c:pt idx="12">
                  <c:v>13组</c:v>
                </c:pt>
                <c:pt idx="13">
                  <c:v>14组</c:v>
                </c:pt>
                <c:pt idx="14">
                  <c:v>15组</c:v>
                </c:pt>
              </c:strCache>
            </c:strRef>
          </c:cat>
          <c:val>
            <c:numRef>
              <c:f>'市场地位（横）'!$J$99:$J$113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6292864"/>
        <c:axId val="336334208"/>
      </c:barChart>
      <c:catAx>
        <c:axId val="3362928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36334208"/>
        <c:crosses val="autoZero"/>
        <c:auto val="1"/>
        <c:lblAlgn val="ctr"/>
        <c:lblOffset val="100"/>
        <c:noMultiLvlLbl val="0"/>
      </c:catAx>
      <c:valAx>
        <c:axId val="336334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3629286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fe77cac-d75f-442a-97e6-af54cf7b55a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'市场地位（横）'!$A$118:$A$132</c:f>
              <c:strCache>
                <c:ptCount val="15"/>
                <c:pt idx="0">
                  <c:v>1组</c:v>
                </c:pt>
                <c:pt idx="1">
                  <c:v>2组</c:v>
                </c:pt>
                <c:pt idx="2">
                  <c:v>3组</c:v>
                </c:pt>
                <c:pt idx="3">
                  <c:v>4组</c:v>
                </c:pt>
                <c:pt idx="4">
                  <c:v>5组</c:v>
                </c:pt>
                <c:pt idx="5">
                  <c:v>6组</c:v>
                </c:pt>
                <c:pt idx="6">
                  <c:v>7组</c:v>
                </c:pt>
                <c:pt idx="7">
                  <c:v>8组</c:v>
                </c:pt>
                <c:pt idx="8">
                  <c:v>9组</c:v>
                </c:pt>
                <c:pt idx="9">
                  <c:v>10组</c:v>
                </c:pt>
                <c:pt idx="10">
                  <c:v>11组</c:v>
                </c:pt>
                <c:pt idx="11">
                  <c:v>12组</c:v>
                </c:pt>
                <c:pt idx="12">
                  <c:v>13组</c:v>
                </c:pt>
                <c:pt idx="13">
                  <c:v>14组</c:v>
                </c:pt>
                <c:pt idx="14">
                  <c:v>15组</c:v>
                </c:pt>
              </c:strCache>
            </c:strRef>
          </c:cat>
          <c:val>
            <c:numRef>
              <c:f>'市场地位（横）'!$J$118:$J$132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068672"/>
        <c:axId val="364274816"/>
      </c:barChart>
      <c:catAx>
        <c:axId val="3490686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64274816"/>
        <c:crosses val="autoZero"/>
        <c:auto val="1"/>
        <c:lblAlgn val="ctr"/>
        <c:lblOffset val="100"/>
        <c:noMultiLvlLbl val="0"/>
      </c:catAx>
      <c:valAx>
        <c:axId val="364274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4906867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d9762d6-99b7-43ee-ba54-a5b8375de6f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'市场地位（横）'!$A$137:$A$151</c:f>
              <c:strCache>
                <c:ptCount val="15"/>
                <c:pt idx="0">
                  <c:v>1组</c:v>
                </c:pt>
                <c:pt idx="1">
                  <c:v>2组</c:v>
                </c:pt>
                <c:pt idx="2">
                  <c:v>3组</c:v>
                </c:pt>
                <c:pt idx="3">
                  <c:v>4组</c:v>
                </c:pt>
                <c:pt idx="4">
                  <c:v>5组</c:v>
                </c:pt>
                <c:pt idx="5">
                  <c:v>6组</c:v>
                </c:pt>
                <c:pt idx="6">
                  <c:v>7组</c:v>
                </c:pt>
                <c:pt idx="7">
                  <c:v>8组</c:v>
                </c:pt>
                <c:pt idx="8">
                  <c:v>9组</c:v>
                </c:pt>
                <c:pt idx="9">
                  <c:v>10组</c:v>
                </c:pt>
                <c:pt idx="10">
                  <c:v>11组</c:v>
                </c:pt>
                <c:pt idx="11">
                  <c:v>12组</c:v>
                </c:pt>
                <c:pt idx="12">
                  <c:v>13组</c:v>
                </c:pt>
                <c:pt idx="13">
                  <c:v>14组</c:v>
                </c:pt>
                <c:pt idx="14">
                  <c:v>15组</c:v>
                </c:pt>
              </c:strCache>
            </c:strRef>
          </c:cat>
          <c:val>
            <c:numRef>
              <c:f>'市场地位（横）'!$J$137:$J$151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063296"/>
        <c:axId val="349063040"/>
      </c:barChart>
      <c:catAx>
        <c:axId val="3370632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49063040"/>
        <c:crosses val="autoZero"/>
        <c:auto val="1"/>
        <c:lblAlgn val="ctr"/>
        <c:lblOffset val="100"/>
        <c:noMultiLvlLbl val="0"/>
      </c:catAx>
      <c:valAx>
        <c:axId val="34906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370632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7d5c4f2-9bdb-47fb-8b03-1d0177fcf56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800"/>
              <a:t>本地市场</a:t>
            </a:r>
            <a:endParaRPr lang="en-US" altLang="zh-CN"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市场预测!$L$3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市场预测!$L$4:$L$6</c:f>
              <c:numCache>
                <c:formatCode>0_ </c:formatCode>
                <c:ptCount val="3"/>
                <c:pt idx="0">
                  <c:v>169</c:v>
                </c:pt>
                <c:pt idx="1">
                  <c:v>79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strRef>
              <c:f>市场预测!$M$3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市场预测!$M$4:$M$6</c:f>
              <c:numCache>
                <c:formatCode>0_ </c:formatCode>
                <c:ptCount val="3"/>
                <c:pt idx="0">
                  <c:v>13</c:v>
                </c:pt>
                <c:pt idx="1">
                  <c:v>41</c:v>
                </c:pt>
                <c:pt idx="2">
                  <c:v>36</c:v>
                </c:pt>
              </c:numCache>
            </c:numRef>
          </c:val>
        </c:ser>
        <c:ser>
          <c:idx val="2"/>
          <c:order val="2"/>
          <c:tx>
            <c:strRef>
              <c:f>市场预测!$N$3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市场预测!$N$4:$N$6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48</c:v>
                </c:pt>
              </c:numCache>
            </c:numRef>
          </c:val>
        </c:ser>
        <c:ser>
          <c:idx val="3"/>
          <c:order val="3"/>
          <c:tx>
            <c:strRef>
              <c:f>市场预测!$O$3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市场预测!$O$4:$O$6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186304"/>
        <c:axId val="71187840"/>
      </c:barChart>
      <c:catAx>
        <c:axId val="71186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187840"/>
        <c:crosses val="autoZero"/>
        <c:auto val="0"/>
        <c:lblAlgn val="ctr"/>
        <c:lblOffset val="100"/>
        <c:noMultiLvlLbl val="0"/>
      </c:catAx>
      <c:valAx>
        <c:axId val="7118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18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23708b-6b34-48e3-8980-6dbada32d4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区域市场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市场预测!$P$3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市场预测!$P$4:$P$6</c:f>
              <c:numCache>
                <c:formatCode>0_ </c:formatCode>
                <c:ptCount val="3"/>
                <c:pt idx="0">
                  <c:v>0</c:v>
                </c:pt>
                <c:pt idx="1">
                  <c:v>87</c:v>
                </c:pt>
                <c:pt idx="2">
                  <c:v>52.5</c:v>
                </c:pt>
              </c:numCache>
            </c:numRef>
          </c:val>
        </c:ser>
        <c:ser>
          <c:idx val="1"/>
          <c:order val="1"/>
          <c:tx>
            <c:strRef>
              <c:f>市场预测!$Q$3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市场预测!$Q$4:$Q$6</c:f>
              <c:numCache>
                <c:formatCode>0_ </c:formatCode>
                <c:ptCount val="3"/>
                <c:pt idx="0">
                  <c:v>0</c:v>
                </c:pt>
                <c:pt idx="1">
                  <c:v>39</c:v>
                </c:pt>
                <c:pt idx="2">
                  <c:v>50</c:v>
                </c:pt>
              </c:numCache>
            </c:numRef>
          </c:val>
        </c:ser>
        <c:ser>
          <c:idx val="2"/>
          <c:order val="2"/>
          <c:tx>
            <c:strRef>
              <c:f>市场预测!$R$3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市场预测!$R$4:$R$6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18</c:v>
                </c:pt>
              </c:numCache>
            </c:numRef>
          </c:val>
        </c:ser>
        <c:ser>
          <c:idx val="3"/>
          <c:order val="3"/>
          <c:tx>
            <c:strRef>
              <c:f>市场预测!$S$3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市场预测!$S$4:$S$6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224320"/>
        <c:axId val="72176384"/>
      </c:barChart>
      <c:catAx>
        <c:axId val="71224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76384"/>
        <c:crosses val="autoZero"/>
        <c:auto val="1"/>
        <c:lblAlgn val="ctr"/>
        <c:lblOffset val="100"/>
        <c:noMultiLvlLbl val="0"/>
      </c:catAx>
      <c:valAx>
        <c:axId val="721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2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fd9320-2b93-49f7-a8f7-dda75ecbb7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80"/>
              <a:t>全国市场</a:t>
            </a:r>
            <a:endParaRPr sz="16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市场预测!$T$3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市场预测!$T$4:$T$6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131</c:v>
                </c:pt>
              </c:numCache>
            </c:numRef>
          </c:val>
        </c:ser>
        <c:ser>
          <c:idx val="1"/>
          <c:order val="1"/>
          <c:tx>
            <c:strRef>
              <c:f>市场预测!$U$3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市场预测!$U$4:$U$6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111</c:v>
                </c:pt>
              </c:numCache>
            </c:numRef>
          </c:val>
        </c:ser>
        <c:ser>
          <c:idx val="2"/>
          <c:order val="2"/>
          <c:tx>
            <c:strRef>
              <c:f>市场预测!$V$3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市场预测!$V$4:$V$6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89</c:v>
                </c:pt>
              </c:numCache>
            </c:numRef>
          </c:val>
        </c:ser>
        <c:ser>
          <c:idx val="3"/>
          <c:order val="3"/>
          <c:tx>
            <c:strRef>
              <c:f>市场预测!$W$3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市场预测!$W$4:$W$6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232960"/>
        <c:axId val="72234496"/>
      </c:barChart>
      <c:catAx>
        <c:axId val="7223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34496"/>
        <c:crosses val="autoZero"/>
        <c:auto val="1"/>
        <c:lblAlgn val="ctr"/>
        <c:lblOffset val="100"/>
        <c:noMultiLvlLbl val="0"/>
      </c:catAx>
      <c:valAx>
        <c:axId val="722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f0c06d-3f98-47bd-accf-802e1851ae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全球市场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664182252848"/>
          <c:y val="0.182781320715902"/>
          <c:w val="0.858866544789762"/>
          <c:h val="0.5391688952890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市场预测!$X$3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市场预测!$X$4:$X$6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市场预测!$Y$3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市场预测!$Y$4:$Y$6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市场预测!$Z$3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市场预测!$Z$4:$Z$6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市场预测!$AA$3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市场预测!$K$4:$K$6</c:f>
              <c:strCache>
                <c:ptCount val="3"/>
                <c:pt idx="0">
                  <c:v>第一年</c:v>
                </c:pt>
                <c:pt idx="1">
                  <c:v>第二年</c:v>
                </c:pt>
                <c:pt idx="2">
                  <c:v>第三年</c:v>
                </c:pt>
              </c:strCache>
            </c:strRef>
          </c:cat>
          <c:val>
            <c:numRef>
              <c:f>市场预测!$AA$4:$AA$6</c:f>
              <c:numCache>
                <c:formatCode>0_ 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270592"/>
        <c:axId val="72272128"/>
      </c:barChart>
      <c:catAx>
        <c:axId val="7227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72128"/>
        <c:crosses val="autoZero"/>
        <c:auto val="1"/>
        <c:lblAlgn val="ctr"/>
        <c:lblOffset val="100"/>
        <c:noMultiLvlLbl val="0"/>
      </c:catAx>
      <c:valAx>
        <c:axId val="722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7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b0f2d8-5caf-4221-b107-733349fb0a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800"/>
              <a:t>本地市场</a:t>
            </a:r>
            <a:endParaRPr lang="en-US" altLang="zh-CN"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市场预测!$L$3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市场预测!$L$7:$L$8</c:f>
              <c:numCache>
                <c:formatCode>0_ </c:formatCode>
                <c:ptCount val="2"/>
                <c:pt idx="0">
                  <c:v>45</c:v>
                </c:pt>
                <c:pt idx="1">
                  <c:v>15</c:v>
                </c:pt>
              </c:numCache>
            </c:numRef>
          </c:val>
        </c:ser>
        <c:ser>
          <c:idx val="1"/>
          <c:order val="1"/>
          <c:tx>
            <c:strRef>
              <c:f>市场预测!$M$3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市场预测!$M$7:$M$8</c:f>
              <c:numCache>
                <c:formatCode>0_ </c:formatCode>
                <c:ptCount val="2"/>
                <c:pt idx="0">
                  <c:v>57</c:v>
                </c:pt>
                <c:pt idx="1">
                  <c:v>54</c:v>
                </c:pt>
              </c:numCache>
            </c:numRef>
          </c:val>
        </c:ser>
        <c:ser>
          <c:idx val="2"/>
          <c:order val="2"/>
          <c:tx>
            <c:strRef>
              <c:f>市场预测!$N$3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市场预测!$N$7:$N$8</c:f>
              <c:numCache>
                <c:formatCode>0_ </c:formatCode>
                <c:ptCount val="2"/>
                <c:pt idx="0">
                  <c:v>48</c:v>
                </c:pt>
                <c:pt idx="1">
                  <c:v>110</c:v>
                </c:pt>
              </c:numCache>
            </c:numRef>
          </c:val>
        </c:ser>
        <c:ser>
          <c:idx val="3"/>
          <c:order val="3"/>
          <c:tx>
            <c:strRef>
              <c:f>市场预测!$O$3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市场预测!$O$7:$O$8</c:f>
              <c:numCache>
                <c:formatCode>0_ </c:formatCode>
                <c:ptCount val="2"/>
                <c:pt idx="0">
                  <c:v>76</c:v>
                </c:pt>
                <c:pt idx="1">
                  <c:v>109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296320"/>
        <c:axId val="72297856"/>
      </c:barChart>
      <c:catAx>
        <c:axId val="72296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97856"/>
        <c:crosses val="autoZero"/>
        <c:auto val="0"/>
        <c:lblAlgn val="ctr"/>
        <c:lblOffset val="100"/>
        <c:noMultiLvlLbl val="0"/>
      </c:catAx>
      <c:valAx>
        <c:axId val="7229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9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23708b-6b34-48e3-8980-6dbada32d4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区域市场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市场预测!$P$3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市场预测!$P$7:$P$8</c:f>
              <c:numCache>
                <c:formatCode>0_ </c:formatCode>
                <c:ptCount val="2"/>
                <c:pt idx="0">
                  <c:v>54</c:v>
                </c:pt>
                <c:pt idx="1">
                  <c:v>16.5</c:v>
                </c:pt>
              </c:numCache>
            </c:numRef>
          </c:val>
        </c:ser>
        <c:ser>
          <c:idx val="1"/>
          <c:order val="1"/>
          <c:tx>
            <c:strRef>
              <c:f>市场预测!$Q$3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市场预测!$Q$7:$Q$8</c:f>
              <c:numCache>
                <c:formatCode>0_ </c:formatCode>
                <c:ptCount val="2"/>
                <c:pt idx="0">
                  <c:v>53</c:v>
                </c:pt>
                <c:pt idx="1">
                  <c:v>33.5</c:v>
                </c:pt>
              </c:numCache>
            </c:numRef>
          </c:val>
        </c:ser>
        <c:ser>
          <c:idx val="2"/>
          <c:order val="2"/>
          <c:tx>
            <c:strRef>
              <c:f>市场预测!$R$3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市场预测!$R$7:$R$8</c:f>
              <c:numCache>
                <c:formatCode>0_ </c:formatCode>
                <c:ptCount val="2"/>
                <c:pt idx="0">
                  <c:v>66</c:v>
                </c:pt>
                <c:pt idx="1">
                  <c:v>102</c:v>
                </c:pt>
              </c:numCache>
            </c:numRef>
          </c:val>
        </c:ser>
        <c:ser>
          <c:idx val="3"/>
          <c:order val="3"/>
          <c:tx>
            <c:strRef>
              <c:f>市场预测!$S$3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市场预测!$S$7:$S$8</c:f>
              <c:numCache>
                <c:formatCode>0_ </c:formatCode>
                <c:ptCount val="2"/>
                <c:pt idx="0">
                  <c:v>69</c:v>
                </c:pt>
                <c:pt idx="1">
                  <c:v>114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338048"/>
        <c:axId val="72352128"/>
      </c:barChart>
      <c:catAx>
        <c:axId val="7233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52128"/>
        <c:crosses val="autoZero"/>
        <c:auto val="1"/>
        <c:lblAlgn val="ctr"/>
        <c:lblOffset val="100"/>
        <c:noMultiLvlLbl val="0"/>
      </c:catAx>
      <c:valAx>
        <c:axId val="7235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3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fd9320-2b93-49f7-a8f7-dda75ecbb7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80"/>
              <a:t>全国市场</a:t>
            </a:r>
            <a:endParaRPr sz="16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市场预测!$T$3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市场预测!$T$7:$T$8</c:f>
              <c:numCache>
                <c:formatCode>0_ </c:formatCode>
                <c:ptCount val="2"/>
                <c:pt idx="0">
                  <c:v>36</c:v>
                </c:pt>
                <c:pt idx="1">
                  <c:v>23</c:v>
                </c:pt>
              </c:numCache>
            </c:numRef>
          </c:val>
        </c:ser>
        <c:ser>
          <c:idx val="1"/>
          <c:order val="1"/>
          <c:tx>
            <c:strRef>
              <c:f>市场预测!$U$3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市场预测!$U$7:$U$8</c:f>
              <c:numCache>
                <c:formatCode>0_ </c:formatCode>
                <c:ptCount val="2"/>
                <c:pt idx="0">
                  <c:v>90</c:v>
                </c:pt>
                <c:pt idx="1">
                  <c:v>63</c:v>
                </c:pt>
              </c:numCache>
            </c:numRef>
          </c:val>
        </c:ser>
        <c:ser>
          <c:idx val="2"/>
          <c:order val="2"/>
          <c:tx>
            <c:strRef>
              <c:f>市场预测!$V$3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市场预测!$V$7:$V$8</c:f>
              <c:numCache>
                <c:formatCode>0_ </c:formatCode>
                <c:ptCount val="2"/>
                <c:pt idx="0">
                  <c:v>54</c:v>
                </c:pt>
                <c:pt idx="1">
                  <c:v>97</c:v>
                </c:pt>
              </c:numCache>
            </c:numRef>
          </c:val>
        </c:ser>
        <c:ser>
          <c:idx val="3"/>
          <c:order val="3"/>
          <c:tx>
            <c:strRef>
              <c:f>市场预测!$W$3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市场预测!$W$7:$W$8</c:f>
              <c:numCache>
                <c:formatCode>0_ </c:formatCode>
                <c:ptCount val="2"/>
                <c:pt idx="0">
                  <c:v>72</c:v>
                </c:pt>
                <c:pt idx="1">
                  <c:v>141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375680"/>
        <c:axId val="72406144"/>
      </c:barChart>
      <c:catAx>
        <c:axId val="72375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406144"/>
        <c:crosses val="autoZero"/>
        <c:auto val="1"/>
        <c:lblAlgn val="ctr"/>
        <c:lblOffset val="100"/>
        <c:noMultiLvlLbl val="0"/>
      </c:catAx>
      <c:valAx>
        <c:axId val="7240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7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f0c06d-3f98-47bd-accf-802e1851ae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全球市场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市场预测!$X$3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市场预测!$X$7:$X$8</c:f>
              <c:numCache>
                <c:formatCode>0_ </c:formatCode>
                <c:ptCount val="2"/>
                <c:pt idx="0">
                  <c:v>57</c:v>
                </c:pt>
                <c:pt idx="1">
                  <c:v>48</c:v>
                </c:pt>
              </c:numCache>
            </c:numRef>
          </c:val>
        </c:ser>
        <c:ser>
          <c:idx val="1"/>
          <c:order val="1"/>
          <c:tx>
            <c:strRef>
              <c:f>市场预测!$Y$3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市场预测!$Y$7:$Y$8</c:f>
              <c:numCache>
                <c:formatCode>0_ </c:formatCode>
                <c:ptCount val="2"/>
                <c:pt idx="0">
                  <c:v>89</c:v>
                </c:pt>
                <c:pt idx="1">
                  <c:v>79</c:v>
                </c:pt>
              </c:numCache>
            </c:numRef>
          </c:val>
        </c:ser>
        <c:ser>
          <c:idx val="2"/>
          <c:order val="2"/>
          <c:tx>
            <c:strRef>
              <c:f>市场预测!$Z$3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市场预测!$Z$7:$Z$8</c:f>
              <c:numCache>
                <c:formatCode>0_ </c:formatCode>
                <c:ptCount val="2"/>
                <c:pt idx="0">
                  <c:v>60</c:v>
                </c:pt>
                <c:pt idx="1">
                  <c:v>111</c:v>
                </c:pt>
              </c:numCache>
            </c:numRef>
          </c:val>
        </c:ser>
        <c:ser>
          <c:idx val="3"/>
          <c:order val="3"/>
          <c:tx>
            <c:strRef>
              <c:f>市场预测!$AA$3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市场预测!$K$7:$K$8</c:f>
              <c:strCache>
                <c:ptCount val="2"/>
                <c:pt idx="0">
                  <c:v>第四年</c:v>
                </c:pt>
                <c:pt idx="1">
                  <c:v>第五年</c:v>
                </c:pt>
              </c:strCache>
            </c:strRef>
          </c:cat>
          <c:val>
            <c:numRef>
              <c:f>市场预测!$AA$7:$AA$8</c:f>
              <c:numCache>
                <c:formatCode>0_ </c:formatCode>
                <c:ptCount val="2"/>
                <c:pt idx="0">
                  <c:v>66</c:v>
                </c:pt>
                <c:pt idx="1">
                  <c:v>117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451200"/>
        <c:axId val="72452736"/>
      </c:barChart>
      <c:catAx>
        <c:axId val="72451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452736"/>
        <c:crosses val="autoZero"/>
        <c:auto val="1"/>
        <c:lblAlgn val="ctr"/>
        <c:lblOffset val="100"/>
        <c:noMultiLvlLbl val="0"/>
      </c:catAx>
      <c:valAx>
        <c:axId val="724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45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b0f2d8-5caf-4221-b107-733349fb0a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800"/>
              <a:t>本地市场</a:t>
            </a:r>
            <a:endParaRPr lang="en-US" altLang="zh-CN"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市场预测!$L$3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市场预测!$L$9:$L$11</c:f>
              <c:numCache>
                <c:formatCode>0_ </c:formatCode>
                <c:ptCount val="3"/>
                <c:pt idx="0">
                  <c:v>15</c:v>
                </c:pt>
                <c:pt idx="1">
                  <c:v>19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市场预测!$M$3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市场预测!$M$9:$M$11</c:f>
              <c:numCache>
                <c:formatCode>0_ </c:formatCode>
                <c:ptCount val="3"/>
                <c:pt idx="0">
                  <c:v>54</c:v>
                </c:pt>
                <c:pt idx="1">
                  <c:v>46</c:v>
                </c:pt>
                <c:pt idx="2">
                  <c:v>41</c:v>
                </c:pt>
              </c:numCache>
            </c:numRef>
          </c:val>
        </c:ser>
        <c:ser>
          <c:idx val="2"/>
          <c:order val="2"/>
          <c:tx>
            <c:strRef>
              <c:f>市场预测!$N$3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市场预测!$N$9:$N$11</c:f>
              <c:numCache>
                <c:formatCode>0_ </c:formatCode>
                <c:ptCount val="3"/>
                <c:pt idx="0">
                  <c:v>110</c:v>
                </c:pt>
                <c:pt idx="1">
                  <c:v>113</c:v>
                </c:pt>
                <c:pt idx="2">
                  <c:v>120</c:v>
                </c:pt>
              </c:numCache>
            </c:numRef>
          </c:val>
        </c:ser>
        <c:ser>
          <c:idx val="3"/>
          <c:order val="3"/>
          <c:tx>
            <c:strRef>
              <c:f>市场预测!$O$3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市场预测!$O$9:$O$11</c:f>
              <c:numCache>
                <c:formatCode>0_ </c:formatCode>
                <c:ptCount val="3"/>
                <c:pt idx="0">
                  <c:v>122</c:v>
                </c:pt>
                <c:pt idx="1">
                  <c:v>109</c:v>
                </c:pt>
                <c:pt idx="2">
                  <c:v>122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587136"/>
        <c:axId val="72588672"/>
      </c:barChart>
      <c:catAx>
        <c:axId val="7258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88672"/>
        <c:crosses val="autoZero"/>
        <c:auto val="0"/>
        <c:lblAlgn val="ctr"/>
        <c:lblOffset val="100"/>
        <c:noMultiLvlLbl val="0"/>
      </c:catAx>
      <c:valAx>
        <c:axId val="725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8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23708b-6b34-48e3-8980-6dbada32d4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区域市场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市场预测!$P$3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市场预测!$P$9:$P$11</c:f>
              <c:numCache>
                <c:formatCode>0_ </c:formatCode>
                <c:ptCount val="3"/>
                <c:pt idx="0">
                  <c:v>12</c:v>
                </c:pt>
                <c:pt idx="1">
                  <c:v>33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市场预测!$Q$3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市场预测!$Q$9:$Q$11</c:f>
              <c:numCache>
                <c:formatCode>0_ </c:formatCode>
                <c:ptCount val="3"/>
                <c:pt idx="0">
                  <c:v>53</c:v>
                </c:pt>
                <c:pt idx="1">
                  <c:v>39</c:v>
                </c:pt>
                <c:pt idx="2">
                  <c:v>69.5</c:v>
                </c:pt>
              </c:numCache>
            </c:numRef>
          </c:val>
        </c:ser>
        <c:ser>
          <c:idx val="2"/>
          <c:order val="2"/>
          <c:tx>
            <c:strRef>
              <c:f>市场预测!$R$3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市场预测!$R$9:$R$11</c:f>
              <c:numCache>
                <c:formatCode>0_ </c:formatCode>
                <c:ptCount val="3"/>
                <c:pt idx="0">
                  <c:v>109.5</c:v>
                </c:pt>
                <c:pt idx="1">
                  <c:v>109.5</c:v>
                </c:pt>
                <c:pt idx="2">
                  <c:v>127.5</c:v>
                </c:pt>
              </c:numCache>
            </c:numRef>
          </c:val>
        </c:ser>
        <c:ser>
          <c:idx val="3"/>
          <c:order val="3"/>
          <c:tx>
            <c:strRef>
              <c:f>市场预测!$S$3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市场预测!$S$9:$S$11</c:f>
              <c:numCache>
                <c:formatCode>0_ </c:formatCode>
                <c:ptCount val="3"/>
                <c:pt idx="0">
                  <c:v>127.5</c:v>
                </c:pt>
                <c:pt idx="1">
                  <c:v>93</c:v>
                </c:pt>
                <c:pt idx="2">
                  <c:v>138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522368"/>
        <c:axId val="72528256"/>
      </c:barChart>
      <c:catAx>
        <c:axId val="72522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28256"/>
        <c:crosses val="autoZero"/>
        <c:auto val="1"/>
        <c:lblAlgn val="ctr"/>
        <c:lblOffset val="100"/>
        <c:noMultiLvlLbl val="0"/>
      </c:catAx>
      <c:valAx>
        <c:axId val="725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2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fd9320-2b93-49f7-a8f7-dda75ecbb7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80"/>
              <a:t>全国市场</a:t>
            </a:r>
            <a:endParaRPr sz="16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市场预测!$T$3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市场预测!$T$9:$T$11</c:f>
              <c:numCache>
                <c:formatCode>0_ </c:formatCode>
                <c:ptCount val="3"/>
                <c:pt idx="0">
                  <c:v>18</c:v>
                </c:pt>
                <c:pt idx="1">
                  <c:v>13</c:v>
                </c:pt>
                <c:pt idx="2">
                  <c:v>23</c:v>
                </c:pt>
              </c:numCache>
            </c:numRef>
          </c:val>
        </c:ser>
        <c:ser>
          <c:idx val="1"/>
          <c:order val="1"/>
          <c:tx>
            <c:strRef>
              <c:f>市场预测!$U$3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市场预测!$U$9:$U$11</c:f>
              <c:numCache>
                <c:formatCode>0_ </c:formatCode>
                <c:ptCount val="3"/>
                <c:pt idx="0">
                  <c:v>51</c:v>
                </c:pt>
                <c:pt idx="1">
                  <c:v>57</c:v>
                </c:pt>
                <c:pt idx="2">
                  <c:v>42</c:v>
                </c:pt>
              </c:numCache>
            </c:numRef>
          </c:val>
        </c:ser>
        <c:ser>
          <c:idx val="2"/>
          <c:order val="2"/>
          <c:tx>
            <c:strRef>
              <c:f>市场预测!$V$3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市场预测!$V$9:$V$11</c:f>
              <c:numCache>
                <c:formatCode>0_ </c:formatCode>
                <c:ptCount val="3"/>
                <c:pt idx="0">
                  <c:v>100</c:v>
                </c:pt>
                <c:pt idx="1">
                  <c:v>108</c:v>
                </c:pt>
                <c:pt idx="2">
                  <c:v>151</c:v>
                </c:pt>
              </c:numCache>
            </c:numRef>
          </c:val>
        </c:ser>
        <c:ser>
          <c:idx val="3"/>
          <c:order val="3"/>
          <c:tx>
            <c:strRef>
              <c:f>市场预测!$W$3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市场预测!$W$9:$W$11</c:f>
              <c:numCache>
                <c:formatCode>0_ </c:formatCode>
                <c:ptCount val="3"/>
                <c:pt idx="0">
                  <c:v>122</c:v>
                </c:pt>
                <c:pt idx="1">
                  <c:v>75</c:v>
                </c:pt>
                <c:pt idx="2">
                  <c:v>155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699264"/>
        <c:axId val="72713344"/>
      </c:barChart>
      <c:catAx>
        <c:axId val="7269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713344"/>
        <c:crosses val="autoZero"/>
        <c:auto val="1"/>
        <c:lblAlgn val="ctr"/>
        <c:lblOffset val="100"/>
        <c:noMultiLvlLbl val="0"/>
      </c:catAx>
      <c:valAx>
        <c:axId val="7271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69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f0c06d-3f98-47bd-accf-802e1851ae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全球市场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市场预测!$X$3</c:f>
              <c:strCache>
                <c:ptCount val="1"/>
                <c:pt idx="0">
                  <c:v>代办过检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市场预测!$X$9:$X$11</c:f>
              <c:numCache>
                <c:formatCode>0_ </c:formatCode>
                <c:ptCount val="3"/>
                <c:pt idx="0">
                  <c:v>21</c:v>
                </c:pt>
                <c:pt idx="1">
                  <c:v>21</c:v>
                </c:pt>
                <c:pt idx="2">
                  <c:v>15</c:v>
                </c:pt>
              </c:numCache>
            </c:numRef>
          </c:val>
        </c:ser>
        <c:ser>
          <c:idx val="1"/>
          <c:order val="1"/>
          <c:tx>
            <c:strRef>
              <c:f>市场预测!$Y$3</c:f>
              <c:strCache>
                <c:ptCount val="1"/>
                <c:pt idx="0">
                  <c:v>两舱贵宾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市场预测!$Y$9:$Y$11</c:f>
              <c:numCache>
                <c:formatCode>0_ </c:formatCode>
                <c:ptCount val="3"/>
                <c:pt idx="0">
                  <c:v>79</c:v>
                </c:pt>
                <c:pt idx="1">
                  <c:v>65</c:v>
                </c:pt>
                <c:pt idx="2">
                  <c:v>48</c:v>
                </c:pt>
              </c:numCache>
            </c:numRef>
          </c:val>
        </c:ser>
        <c:ser>
          <c:idx val="2"/>
          <c:order val="2"/>
          <c:tx>
            <c:strRef>
              <c:f>市场预测!$Z$3</c:f>
              <c:strCache>
                <c:ptCount val="1"/>
                <c:pt idx="0">
                  <c:v>商务贵宾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市场预测!$Z$9:$Z$11</c:f>
              <c:numCache>
                <c:formatCode>0_ </c:formatCode>
                <c:ptCount val="3"/>
                <c:pt idx="0">
                  <c:v>129</c:v>
                </c:pt>
                <c:pt idx="1">
                  <c:v>141</c:v>
                </c:pt>
                <c:pt idx="2">
                  <c:v>129</c:v>
                </c:pt>
              </c:numCache>
            </c:numRef>
          </c:val>
        </c:ser>
        <c:ser>
          <c:idx val="3"/>
          <c:order val="3"/>
          <c:tx>
            <c:strRef>
              <c:f>市场预测!$AA$3</c:f>
              <c:strCache>
                <c:ptCount val="1"/>
                <c:pt idx="0">
                  <c:v>会员定制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市场预测!$K$9:$K$11</c:f>
              <c:strCache>
                <c:ptCount val="3"/>
                <c:pt idx="0">
                  <c:v>第六年</c:v>
                </c:pt>
                <c:pt idx="1">
                  <c:v>第七年</c:v>
                </c:pt>
                <c:pt idx="2">
                  <c:v>第八年</c:v>
                </c:pt>
              </c:strCache>
            </c:strRef>
          </c:cat>
          <c:val>
            <c:numRef>
              <c:f>市场预测!$AA$9:$AA$11</c:f>
              <c:numCache>
                <c:formatCode>0_ </c:formatCode>
                <c:ptCount val="3"/>
                <c:pt idx="0">
                  <c:v>132</c:v>
                </c:pt>
                <c:pt idx="1">
                  <c:v>129</c:v>
                </c:pt>
                <c:pt idx="2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761728"/>
        <c:axId val="72763264"/>
      </c:barChart>
      <c:catAx>
        <c:axId val="7276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763264"/>
        <c:crosses val="autoZero"/>
        <c:auto val="1"/>
        <c:lblAlgn val="ctr"/>
        <c:lblOffset val="100"/>
        <c:noMultiLvlLbl val="0"/>
      </c:catAx>
      <c:valAx>
        <c:axId val="727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76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b0f2d8-5caf-4221-b107-733349fb0a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1400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7.xml"/><Relationship Id="rId8" Type="http://schemas.openxmlformats.org/officeDocument/2006/relationships/chart" Target="../charts/chart16.xml"/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2" Type="http://schemas.openxmlformats.org/officeDocument/2006/relationships/chart" Target="../charts/chart20.xml"/><Relationship Id="rId11" Type="http://schemas.openxmlformats.org/officeDocument/2006/relationships/chart" Target="../charts/chart19.xml"/><Relationship Id="rId10" Type="http://schemas.openxmlformats.org/officeDocument/2006/relationships/chart" Target="../charts/chart18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670891</xdr:colOff>
      <xdr:row>4</xdr:row>
      <xdr:rowOff>149087</xdr:rowOff>
    </xdr:from>
    <xdr:to>
      <xdr:col>27</xdr:col>
      <xdr:colOff>91108</xdr:colOff>
      <xdr:row>15</xdr:row>
      <xdr:rowOff>66260</xdr:rowOff>
    </xdr:to>
    <xdr:graphicFrame>
      <xdr:nvGraphicFramePr>
        <xdr:cNvPr id="19" name="图表 18"/>
        <xdr:cNvGraphicFramePr/>
      </xdr:nvGraphicFramePr>
      <xdr:xfrm>
        <a:off x="10262235" y="1177290"/>
        <a:ext cx="4906645" cy="2746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8281</xdr:colOff>
      <xdr:row>21</xdr:row>
      <xdr:rowOff>107673</xdr:rowOff>
    </xdr:from>
    <xdr:to>
      <xdr:col>27</xdr:col>
      <xdr:colOff>149086</xdr:colOff>
      <xdr:row>32</xdr:row>
      <xdr:rowOff>24847</xdr:rowOff>
    </xdr:to>
    <xdr:graphicFrame>
      <xdr:nvGraphicFramePr>
        <xdr:cNvPr id="27" name="图表 26"/>
        <xdr:cNvGraphicFramePr/>
      </xdr:nvGraphicFramePr>
      <xdr:xfrm>
        <a:off x="10285730" y="5422265"/>
        <a:ext cx="4940935" cy="2746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8281</xdr:colOff>
      <xdr:row>41</xdr:row>
      <xdr:rowOff>124239</xdr:rowOff>
    </xdr:from>
    <xdr:to>
      <xdr:col>27</xdr:col>
      <xdr:colOff>165650</xdr:colOff>
      <xdr:row>52</xdr:row>
      <xdr:rowOff>41412</xdr:rowOff>
    </xdr:to>
    <xdr:graphicFrame>
      <xdr:nvGraphicFramePr>
        <xdr:cNvPr id="28" name="图表 27"/>
        <xdr:cNvGraphicFramePr/>
      </xdr:nvGraphicFramePr>
      <xdr:xfrm>
        <a:off x="10285730" y="10496550"/>
        <a:ext cx="4957445" cy="2746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16564</xdr:colOff>
      <xdr:row>60</xdr:row>
      <xdr:rowOff>132522</xdr:rowOff>
    </xdr:from>
    <xdr:to>
      <xdr:col>27</xdr:col>
      <xdr:colOff>198781</xdr:colOff>
      <xdr:row>71</xdr:row>
      <xdr:rowOff>49696</xdr:rowOff>
    </xdr:to>
    <xdr:graphicFrame>
      <xdr:nvGraphicFramePr>
        <xdr:cNvPr id="29" name="图表 28"/>
        <xdr:cNvGraphicFramePr/>
      </xdr:nvGraphicFramePr>
      <xdr:xfrm>
        <a:off x="10293985" y="15305405"/>
        <a:ext cx="4982845" cy="2746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8282</xdr:colOff>
      <xdr:row>79</xdr:row>
      <xdr:rowOff>248478</xdr:rowOff>
    </xdr:from>
    <xdr:to>
      <xdr:col>27</xdr:col>
      <xdr:colOff>223630</xdr:colOff>
      <xdr:row>90</xdr:row>
      <xdr:rowOff>165652</xdr:rowOff>
    </xdr:to>
    <xdr:graphicFrame>
      <xdr:nvGraphicFramePr>
        <xdr:cNvPr id="30" name="图表 29"/>
        <xdr:cNvGraphicFramePr/>
      </xdr:nvGraphicFramePr>
      <xdr:xfrm>
        <a:off x="10285730" y="20222210"/>
        <a:ext cx="5015865" cy="2745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687456</xdr:colOff>
      <xdr:row>97</xdr:row>
      <xdr:rowOff>190500</xdr:rowOff>
    </xdr:from>
    <xdr:to>
      <xdr:col>27</xdr:col>
      <xdr:colOff>240195</xdr:colOff>
      <xdr:row>108</xdr:row>
      <xdr:rowOff>107674</xdr:rowOff>
    </xdr:to>
    <xdr:graphicFrame>
      <xdr:nvGraphicFramePr>
        <xdr:cNvPr id="31" name="图表 30"/>
        <xdr:cNvGraphicFramePr/>
      </xdr:nvGraphicFramePr>
      <xdr:xfrm>
        <a:off x="10277475" y="24707850"/>
        <a:ext cx="5040630" cy="2745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687456</xdr:colOff>
      <xdr:row>118</xdr:row>
      <xdr:rowOff>132522</xdr:rowOff>
    </xdr:from>
    <xdr:to>
      <xdr:col>27</xdr:col>
      <xdr:colOff>240195</xdr:colOff>
      <xdr:row>129</xdr:row>
      <xdr:rowOff>49695</xdr:rowOff>
    </xdr:to>
    <xdr:graphicFrame>
      <xdr:nvGraphicFramePr>
        <xdr:cNvPr id="32" name="图表 31"/>
        <xdr:cNvGraphicFramePr/>
      </xdr:nvGraphicFramePr>
      <xdr:xfrm>
        <a:off x="10277475" y="29964380"/>
        <a:ext cx="5040630" cy="2746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662608</xdr:colOff>
      <xdr:row>136</xdr:row>
      <xdr:rowOff>173934</xdr:rowOff>
    </xdr:from>
    <xdr:to>
      <xdr:col>27</xdr:col>
      <xdr:colOff>207064</xdr:colOff>
      <xdr:row>147</xdr:row>
      <xdr:rowOff>91108</xdr:rowOff>
    </xdr:to>
    <xdr:graphicFrame>
      <xdr:nvGraphicFramePr>
        <xdr:cNvPr id="33" name="图表 32"/>
        <xdr:cNvGraphicFramePr/>
      </xdr:nvGraphicFramePr>
      <xdr:xfrm>
        <a:off x="10253980" y="34549080"/>
        <a:ext cx="5031105" cy="2746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2</xdr:row>
      <xdr:rowOff>71120</xdr:rowOff>
    </xdr:from>
    <xdr:to>
      <xdr:col>4</xdr:col>
      <xdr:colOff>627380</xdr:colOff>
      <xdr:row>9</xdr:row>
      <xdr:rowOff>382270</xdr:rowOff>
    </xdr:to>
    <xdr:graphicFrame>
      <xdr:nvGraphicFramePr>
        <xdr:cNvPr id="6" name="图表 5"/>
        <xdr:cNvGraphicFramePr/>
      </xdr:nvGraphicFramePr>
      <xdr:xfrm>
        <a:off x="6350" y="886460"/>
        <a:ext cx="4832350" cy="316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10</xdr:row>
      <xdr:rowOff>18415</xdr:rowOff>
    </xdr:from>
    <xdr:to>
      <xdr:col>4</xdr:col>
      <xdr:colOff>638175</xdr:colOff>
      <xdr:row>17</xdr:row>
      <xdr:rowOff>288925</xdr:rowOff>
    </xdr:to>
    <xdr:graphicFrame>
      <xdr:nvGraphicFramePr>
        <xdr:cNvPr id="10" name="图表 9"/>
        <xdr:cNvGraphicFramePr/>
      </xdr:nvGraphicFramePr>
      <xdr:xfrm>
        <a:off x="6350" y="4095115"/>
        <a:ext cx="4843145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</xdr:colOff>
      <xdr:row>17</xdr:row>
      <xdr:rowOff>347980</xdr:rowOff>
    </xdr:from>
    <xdr:to>
      <xdr:col>4</xdr:col>
      <xdr:colOff>641350</xdr:colOff>
      <xdr:row>25</xdr:row>
      <xdr:rowOff>223520</xdr:rowOff>
    </xdr:to>
    <xdr:graphicFrame>
      <xdr:nvGraphicFramePr>
        <xdr:cNvPr id="13" name="图表 12"/>
        <xdr:cNvGraphicFramePr/>
      </xdr:nvGraphicFramePr>
      <xdr:xfrm>
        <a:off x="6350" y="7278370"/>
        <a:ext cx="4846320" cy="3136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</xdr:colOff>
      <xdr:row>25</xdr:row>
      <xdr:rowOff>285750</xdr:rowOff>
    </xdr:from>
    <xdr:to>
      <xdr:col>4</xdr:col>
      <xdr:colOff>665480</xdr:colOff>
      <xdr:row>33</xdr:row>
      <xdr:rowOff>139700</xdr:rowOff>
    </xdr:to>
    <xdr:graphicFrame>
      <xdr:nvGraphicFramePr>
        <xdr:cNvPr id="14" name="图表 13"/>
        <xdr:cNvGraphicFramePr/>
      </xdr:nvGraphicFramePr>
      <xdr:xfrm>
        <a:off x="6350" y="10477500"/>
        <a:ext cx="4870450" cy="3115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</xdr:colOff>
      <xdr:row>36</xdr:row>
      <xdr:rowOff>54610</xdr:rowOff>
    </xdr:from>
    <xdr:to>
      <xdr:col>4</xdr:col>
      <xdr:colOff>516255</xdr:colOff>
      <xdr:row>43</xdr:row>
      <xdr:rowOff>313055</xdr:rowOff>
    </xdr:to>
    <xdr:graphicFrame>
      <xdr:nvGraphicFramePr>
        <xdr:cNvPr id="19" name="图表 18"/>
        <xdr:cNvGraphicFramePr/>
      </xdr:nvGraphicFramePr>
      <xdr:xfrm>
        <a:off x="15240" y="14730730"/>
        <a:ext cx="4712335" cy="3112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14605</xdr:colOff>
      <xdr:row>44</xdr:row>
      <xdr:rowOff>0</xdr:rowOff>
    </xdr:from>
    <xdr:to>
      <xdr:col>4</xdr:col>
      <xdr:colOff>527050</xdr:colOff>
      <xdr:row>51</xdr:row>
      <xdr:rowOff>223520</xdr:rowOff>
    </xdr:to>
    <xdr:graphicFrame>
      <xdr:nvGraphicFramePr>
        <xdr:cNvPr id="20" name="图表 19"/>
        <xdr:cNvGraphicFramePr/>
      </xdr:nvGraphicFramePr>
      <xdr:xfrm>
        <a:off x="14605" y="17937480"/>
        <a:ext cx="4723765" cy="3077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</xdr:colOff>
      <xdr:row>51</xdr:row>
      <xdr:rowOff>355600</xdr:rowOff>
    </xdr:from>
    <xdr:to>
      <xdr:col>4</xdr:col>
      <xdr:colOff>529590</xdr:colOff>
      <xdr:row>59</xdr:row>
      <xdr:rowOff>179070</xdr:rowOff>
    </xdr:to>
    <xdr:graphicFrame>
      <xdr:nvGraphicFramePr>
        <xdr:cNvPr id="21" name="图表 20"/>
        <xdr:cNvGraphicFramePr/>
      </xdr:nvGraphicFramePr>
      <xdr:xfrm>
        <a:off x="6350" y="21146770"/>
        <a:ext cx="4734560" cy="3084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</xdr:colOff>
      <xdr:row>59</xdr:row>
      <xdr:rowOff>330200</xdr:rowOff>
    </xdr:from>
    <xdr:to>
      <xdr:col>4</xdr:col>
      <xdr:colOff>553085</xdr:colOff>
      <xdr:row>67</xdr:row>
      <xdr:rowOff>137795</xdr:rowOff>
    </xdr:to>
    <xdr:graphicFrame>
      <xdr:nvGraphicFramePr>
        <xdr:cNvPr id="22" name="图表 21"/>
        <xdr:cNvGraphicFramePr/>
      </xdr:nvGraphicFramePr>
      <xdr:xfrm>
        <a:off x="6350" y="24382730"/>
        <a:ext cx="4758055" cy="3068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15240</xdr:colOff>
      <xdr:row>70</xdr:row>
      <xdr:rowOff>54610</xdr:rowOff>
    </xdr:from>
    <xdr:to>
      <xdr:col>4</xdr:col>
      <xdr:colOff>516255</xdr:colOff>
      <xdr:row>77</xdr:row>
      <xdr:rowOff>313055</xdr:rowOff>
    </xdr:to>
    <xdr:graphicFrame>
      <xdr:nvGraphicFramePr>
        <xdr:cNvPr id="23" name="图表 22"/>
        <xdr:cNvGraphicFramePr/>
      </xdr:nvGraphicFramePr>
      <xdr:xfrm>
        <a:off x="15240" y="28591510"/>
        <a:ext cx="4712335" cy="3112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14605</xdr:colOff>
      <xdr:row>78</xdr:row>
      <xdr:rowOff>0</xdr:rowOff>
    </xdr:from>
    <xdr:to>
      <xdr:col>4</xdr:col>
      <xdr:colOff>527050</xdr:colOff>
      <xdr:row>85</xdr:row>
      <xdr:rowOff>223520</xdr:rowOff>
    </xdr:to>
    <xdr:graphicFrame>
      <xdr:nvGraphicFramePr>
        <xdr:cNvPr id="24" name="图表 23"/>
        <xdr:cNvGraphicFramePr/>
      </xdr:nvGraphicFramePr>
      <xdr:xfrm>
        <a:off x="14605" y="31798260"/>
        <a:ext cx="4723765" cy="3077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6350</xdr:colOff>
      <xdr:row>85</xdr:row>
      <xdr:rowOff>355600</xdr:rowOff>
    </xdr:from>
    <xdr:to>
      <xdr:col>4</xdr:col>
      <xdr:colOff>529590</xdr:colOff>
      <xdr:row>93</xdr:row>
      <xdr:rowOff>179070</xdr:rowOff>
    </xdr:to>
    <xdr:graphicFrame>
      <xdr:nvGraphicFramePr>
        <xdr:cNvPr id="25" name="图表 24"/>
        <xdr:cNvGraphicFramePr/>
      </xdr:nvGraphicFramePr>
      <xdr:xfrm>
        <a:off x="6350" y="35007550"/>
        <a:ext cx="4734560" cy="3084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6350</xdr:colOff>
      <xdr:row>93</xdr:row>
      <xdr:rowOff>330200</xdr:rowOff>
    </xdr:from>
    <xdr:to>
      <xdr:col>4</xdr:col>
      <xdr:colOff>553085</xdr:colOff>
      <xdr:row>101</xdr:row>
      <xdr:rowOff>137795</xdr:rowOff>
    </xdr:to>
    <xdr:graphicFrame>
      <xdr:nvGraphicFramePr>
        <xdr:cNvPr id="26" name="图表 25"/>
        <xdr:cNvGraphicFramePr/>
      </xdr:nvGraphicFramePr>
      <xdr:xfrm>
        <a:off x="6350" y="38243510"/>
        <a:ext cx="4758055" cy="3068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41"/>
  <sheetViews>
    <sheetView view="pageBreakPreview" zoomScale="85" zoomScaleNormal="85" topLeftCell="A11" workbookViewId="0">
      <selection activeCell="L41" sqref="L41"/>
    </sheetView>
  </sheetViews>
  <sheetFormatPr defaultColWidth="9" defaultRowHeight="13.5"/>
  <cols>
    <col min="1" max="1" width="9.375" customWidth="1"/>
    <col min="2" max="2" width="9.375" style="2" customWidth="1"/>
    <col min="3" max="3" width="11" style="2" customWidth="1"/>
    <col min="4" max="18" width="10.875" customWidth="1"/>
  </cols>
  <sheetData>
    <row r="1" ht="18.95" customHeight="1" spans="1:18">
      <c r="A1" s="90" t="s">
        <v>0</v>
      </c>
      <c r="B1" s="90" t="s">
        <v>1</v>
      </c>
      <c r="C1" s="90" t="s">
        <v>2</v>
      </c>
      <c r="D1" s="91">
        <v>1</v>
      </c>
      <c r="E1" s="91">
        <v>2</v>
      </c>
      <c r="F1" s="92">
        <v>3</v>
      </c>
      <c r="G1" s="92">
        <v>4</v>
      </c>
      <c r="H1" s="93">
        <v>5</v>
      </c>
      <c r="I1" s="93">
        <v>6</v>
      </c>
      <c r="J1" s="94">
        <v>7</v>
      </c>
      <c r="K1" s="94">
        <v>8</v>
      </c>
      <c r="L1" s="95">
        <v>9</v>
      </c>
      <c r="M1" s="95">
        <v>10</v>
      </c>
      <c r="N1" s="96">
        <v>11</v>
      </c>
      <c r="O1" s="96">
        <v>12</v>
      </c>
      <c r="P1" s="90">
        <v>13</v>
      </c>
      <c r="Q1" s="90">
        <v>14</v>
      </c>
      <c r="R1" s="90" t="s">
        <v>3</v>
      </c>
    </row>
    <row r="2" ht="18.95" customHeight="1" spans="1:18">
      <c r="A2" s="97" t="s">
        <v>4</v>
      </c>
      <c r="B2" s="90">
        <v>3</v>
      </c>
      <c r="C2" s="90" t="s">
        <v>5</v>
      </c>
      <c r="D2" s="98">
        <v>13</v>
      </c>
      <c r="E2" s="98">
        <f>D2</f>
        <v>13</v>
      </c>
      <c r="F2" s="98">
        <f>D2+1</f>
        <v>14</v>
      </c>
      <c r="G2" s="98">
        <f>D2+1</f>
        <v>14</v>
      </c>
      <c r="H2" s="98">
        <f>D2+2</f>
        <v>15</v>
      </c>
      <c r="I2" s="99">
        <f>D2+2</f>
        <v>15</v>
      </c>
      <c r="J2" s="100">
        <f>D2+3</f>
        <v>16</v>
      </c>
      <c r="K2" s="100">
        <f>D2+3</f>
        <v>16</v>
      </c>
      <c r="L2" s="101">
        <f>H2+2</f>
        <v>17</v>
      </c>
      <c r="M2" s="98">
        <f>H2+2</f>
        <v>17</v>
      </c>
      <c r="N2" s="98">
        <f>J2+2</f>
        <v>18</v>
      </c>
      <c r="O2" s="98">
        <f>J2+2</f>
        <v>18</v>
      </c>
      <c r="P2" s="98">
        <f>L2+2</f>
        <v>19</v>
      </c>
      <c r="Q2" s="98">
        <f>L2+2</f>
        <v>19</v>
      </c>
      <c r="R2" s="102">
        <v>4</v>
      </c>
    </row>
    <row r="3" ht="18.95" customHeight="1" spans="1:18">
      <c r="A3" s="103"/>
      <c r="B3" s="90"/>
      <c r="C3" s="90" t="s">
        <v>6</v>
      </c>
      <c r="D3" s="104" t="str">
        <f t="shared" ref="D3:I3" si="0">FIXED(D2/$B2,2,TRUE)</f>
        <v>4.33</v>
      </c>
      <c r="E3" s="104" t="str">
        <f t="shared" si="0"/>
        <v>4.33</v>
      </c>
      <c r="F3" s="104" t="str">
        <f t="shared" si="0"/>
        <v>4.67</v>
      </c>
      <c r="G3" s="104" t="str">
        <f t="shared" si="0"/>
        <v>4.67</v>
      </c>
      <c r="H3" s="104" t="str">
        <f t="shared" si="0"/>
        <v>5.00</v>
      </c>
      <c r="I3" s="105" t="str">
        <f t="shared" si="0"/>
        <v>5.00</v>
      </c>
      <c r="J3" s="106" t="str">
        <f t="shared" ref="J3:Q3" si="1">FIXED(J2/$B2,2,TRUE)</f>
        <v>5.33</v>
      </c>
      <c r="K3" s="106" t="str">
        <f t="shared" si="1"/>
        <v>5.33</v>
      </c>
      <c r="L3" s="107" t="str">
        <f t="shared" si="1"/>
        <v>5.67</v>
      </c>
      <c r="M3" s="104" t="str">
        <f t="shared" si="1"/>
        <v>5.67</v>
      </c>
      <c r="N3" s="104" t="str">
        <f t="shared" si="1"/>
        <v>6.00</v>
      </c>
      <c r="O3" s="104" t="str">
        <f t="shared" si="1"/>
        <v>6.00</v>
      </c>
      <c r="P3" s="104" t="str">
        <f t="shared" si="1"/>
        <v>6.33</v>
      </c>
      <c r="Q3" s="104" t="str">
        <f t="shared" si="1"/>
        <v>6.33</v>
      </c>
      <c r="R3" s="108"/>
    </row>
    <row r="4" ht="18.95" customHeight="1" spans="1:18">
      <c r="A4" s="103"/>
      <c r="B4" s="90">
        <v>4</v>
      </c>
      <c r="C4" s="90" t="s">
        <v>5</v>
      </c>
      <c r="D4" s="98">
        <f>D2+R2</f>
        <v>17</v>
      </c>
      <c r="E4" s="98">
        <f>D4</f>
        <v>17</v>
      </c>
      <c r="F4" s="98">
        <f>D4+1</f>
        <v>18</v>
      </c>
      <c r="G4" s="98">
        <f>D4+1</f>
        <v>18</v>
      </c>
      <c r="H4" s="98">
        <f>F4+1</f>
        <v>19</v>
      </c>
      <c r="I4" s="99">
        <f>F4+1</f>
        <v>19</v>
      </c>
      <c r="J4" s="100">
        <f>H4+1</f>
        <v>20</v>
      </c>
      <c r="K4" s="100">
        <f>H4+1</f>
        <v>20</v>
      </c>
      <c r="L4" s="101">
        <f>J4+1</f>
        <v>21</v>
      </c>
      <c r="M4" s="98">
        <f>J4+1</f>
        <v>21</v>
      </c>
      <c r="N4" s="98">
        <f>L4+1</f>
        <v>22</v>
      </c>
      <c r="O4" s="98">
        <f>L4+1</f>
        <v>22</v>
      </c>
      <c r="P4" s="98">
        <f>N4+1</f>
        <v>23</v>
      </c>
      <c r="Q4" s="98">
        <f>N4+1</f>
        <v>23</v>
      </c>
      <c r="R4" s="108"/>
    </row>
    <row r="5" ht="18.95" customHeight="1" spans="1:18">
      <c r="A5" s="103"/>
      <c r="B5" s="90"/>
      <c r="C5" s="90" t="s">
        <v>6</v>
      </c>
      <c r="D5" s="104" t="str">
        <f t="shared" ref="D5:I5" si="2">FIXED(D4/$B4,2,TRUE)</f>
        <v>4.25</v>
      </c>
      <c r="E5" s="104" t="str">
        <f t="shared" si="2"/>
        <v>4.25</v>
      </c>
      <c r="F5" s="104" t="str">
        <f t="shared" si="2"/>
        <v>4.50</v>
      </c>
      <c r="G5" s="104" t="str">
        <f t="shared" si="2"/>
        <v>4.50</v>
      </c>
      <c r="H5" s="104" t="str">
        <f t="shared" si="2"/>
        <v>4.75</v>
      </c>
      <c r="I5" s="105" t="str">
        <f t="shared" si="2"/>
        <v>4.75</v>
      </c>
      <c r="J5" s="106" t="str">
        <f t="shared" ref="J5:Q5" si="3">FIXED(J4/$B4,2,TRUE)</f>
        <v>5.00</v>
      </c>
      <c r="K5" s="106" t="str">
        <f t="shared" si="3"/>
        <v>5.00</v>
      </c>
      <c r="L5" s="107" t="str">
        <f t="shared" si="3"/>
        <v>5.25</v>
      </c>
      <c r="M5" s="104" t="str">
        <f t="shared" si="3"/>
        <v>5.25</v>
      </c>
      <c r="N5" s="104" t="str">
        <f t="shared" si="3"/>
        <v>5.50</v>
      </c>
      <c r="O5" s="104" t="str">
        <f t="shared" si="3"/>
        <v>5.50</v>
      </c>
      <c r="P5" s="104" t="str">
        <f t="shared" si="3"/>
        <v>5.75</v>
      </c>
      <c r="Q5" s="104" t="str">
        <f t="shared" si="3"/>
        <v>5.75</v>
      </c>
      <c r="R5" s="108"/>
    </row>
    <row r="6" ht="18.95" customHeight="1" spans="1:18">
      <c r="A6" s="103"/>
      <c r="B6" s="90">
        <v>5</v>
      </c>
      <c r="C6" s="90" t="s">
        <v>5</v>
      </c>
      <c r="D6" s="104">
        <f t="shared" ref="D6:P6" si="4">D4+$R2</f>
        <v>21</v>
      </c>
      <c r="E6" s="104">
        <f t="shared" si="4"/>
        <v>21</v>
      </c>
      <c r="F6" s="104">
        <f t="shared" si="4"/>
        <v>22</v>
      </c>
      <c r="G6" s="104">
        <f t="shared" si="4"/>
        <v>22</v>
      </c>
      <c r="H6" s="104">
        <f t="shared" si="4"/>
        <v>23</v>
      </c>
      <c r="I6" s="105">
        <f t="shared" si="4"/>
        <v>23</v>
      </c>
      <c r="J6" s="106">
        <f t="shared" si="4"/>
        <v>24</v>
      </c>
      <c r="K6" s="106">
        <f t="shared" si="4"/>
        <v>24</v>
      </c>
      <c r="L6" s="107">
        <f t="shared" si="4"/>
        <v>25</v>
      </c>
      <c r="M6" s="104">
        <f t="shared" si="4"/>
        <v>25</v>
      </c>
      <c r="N6" s="104">
        <f t="shared" si="4"/>
        <v>26</v>
      </c>
      <c r="O6" s="104">
        <f t="shared" si="4"/>
        <v>26</v>
      </c>
      <c r="P6" s="104">
        <f t="shared" si="4"/>
        <v>27</v>
      </c>
      <c r="Q6" s="104">
        <f t="shared" ref="Q6" si="5">Q4+$R2</f>
        <v>27</v>
      </c>
      <c r="R6" s="108"/>
    </row>
    <row r="7" ht="18.95" customHeight="1" spans="1:18">
      <c r="A7" s="103"/>
      <c r="B7" s="90"/>
      <c r="C7" s="90" t="s">
        <v>6</v>
      </c>
      <c r="D7" s="104" t="str">
        <f t="shared" ref="D7:I7" si="6">FIXED(D6/$B6,2,TRUE)</f>
        <v>4.20</v>
      </c>
      <c r="E7" s="104" t="str">
        <f t="shared" si="6"/>
        <v>4.20</v>
      </c>
      <c r="F7" s="104" t="str">
        <f t="shared" si="6"/>
        <v>4.40</v>
      </c>
      <c r="G7" s="104" t="str">
        <f t="shared" si="6"/>
        <v>4.40</v>
      </c>
      <c r="H7" s="104" t="str">
        <f t="shared" si="6"/>
        <v>4.60</v>
      </c>
      <c r="I7" s="105" t="str">
        <f t="shared" si="6"/>
        <v>4.60</v>
      </c>
      <c r="J7" s="106" t="str">
        <f t="shared" ref="J7:Q7" si="7">FIXED(J6/$B6,2,TRUE)</f>
        <v>4.80</v>
      </c>
      <c r="K7" s="106" t="str">
        <f t="shared" si="7"/>
        <v>4.80</v>
      </c>
      <c r="L7" s="107" t="str">
        <f t="shared" si="7"/>
        <v>5.00</v>
      </c>
      <c r="M7" s="104" t="str">
        <f t="shared" si="7"/>
        <v>5.00</v>
      </c>
      <c r="N7" s="104" t="str">
        <f t="shared" si="7"/>
        <v>5.20</v>
      </c>
      <c r="O7" s="104" t="str">
        <f t="shared" si="7"/>
        <v>5.20</v>
      </c>
      <c r="P7" s="104" t="str">
        <f t="shared" si="7"/>
        <v>5.40</v>
      </c>
      <c r="Q7" s="104" t="str">
        <f t="shared" si="7"/>
        <v>5.40</v>
      </c>
      <c r="R7" s="108"/>
    </row>
    <row r="8" ht="18.95" customHeight="1" spans="1:18">
      <c r="A8" s="103"/>
      <c r="B8" s="90">
        <v>6</v>
      </c>
      <c r="C8" s="90" t="s">
        <v>5</v>
      </c>
      <c r="D8" s="104">
        <f t="shared" ref="D8:P8" si="8">D6+$R2</f>
        <v>25</v>
      </c>
      <c r="E8" s="104">
        <f t="shared" si="8"/>
        <v>25</v>
      </c>
      <c r="F8" s="104">
        <f t="shared" si="8"/>
        <v>26</v>
      </c>
      <c r="G8" s="104">
        <f t="shared" si="8"/>
        <v>26</v>
      </c>
      <c r="H8" s="104">
        <f t="shared" si="8"/>
        <v>27</v>
      </c>
      <c r="I8" s="105">
        <f t="shared" si="8"/>
        <v>27</v>
      </c>
      <c r="J8" s="106">
        <f t="shared" si="8"/>
        <v>28</v>
      </c>
      <c r="K8" s="106">
        <f t="shared" si="8"/>
        <v>28</v>
      </c>
      <c r="L8" s="107">
        <f t="shared" si="8"/>
        <v>29</v>
      </c>
      <c r="M8" s="104">
        <f t="shared" si="8"/>
        <v>29</v>
      </c>
      <c r="N8" s="104">
        <f t="shared" si="8"/>
        <v>30</v>
      </c>
      <c r="O8" s="104">
        <f t="shared" si="8"/>
        <v>30</v>
      </c>
      <c r="P8" s="104">
        <f t="shared" si="8"/>
        <v>31</v>
      </c>
      <c r="Q8" s="104">
        <f t="shared" ref="Q8" si="9">Q6+$R2</f>
        <v>31</v>
      </c>
      <c r="R8" s="108"/>
    </row>
    <row r="9" ht="18.95" customHeight="1" spans="1:18">
      <c r="A9" s="103"/>
      <c r="B9" s="90"/>
      <c r="C9" s="90" t="s">
        <v>6</v>
      </c>
      <c r="D9" s="104" t="str">
        <f t="shared" ref="D9:I9" si="10">FIXED(D8/$B8,2,TRUE)</f>
        <v>4.17</v>
      </c>
      <c r="E9" s="104" t="str">
        <f t="shared" si="10"/>
        <v>4.17</v>
      </c>
      <c r="F9" s="104" t="str">
        <f t="shared" si="10"/>
        <v>4.33</v>
      </c>
      <c r="G9" s="104" t="str">
        <f t="shared" si="10"/>
        <v>4.33</v>
      </c>
      <c r="H9" s="104" t="str">
        <f t="shared" si="10"/>
        <v>4.50</v>
      </c>
      <c r="I9" s="105" t="str">
        <f t="shared" si="10"/>
        <v>4.50</v>
      </c>
      <c r="J9" s="106" t="str">
        <f t="shared" ref="J9:Q9" si="11">FIXED(J8/$B8,2,TRUE)</f>
        <v>4.67</v>
      </c>
      <c r="K9" s="106" t="str">
        <f t="shared" si="11"/>
        <v>4.67</v>
      </c>
      <c r="L9" s="107" t="str">
        <f t="shared" si="11"/>
        <v>4.83</v>
      </c>
      <c r="M9" s="104" t="str">
        <f t="shared" si="11"/>
        <v>4.83</v>
      </c>
      <c r="N9" s="104" t="str">
        <f t="shared" si="11"/>
        <v>5.00</v>
      </c>
      <c r="O9" s="104" t="str">
        <f t="shared" si="11"/>
        <v>5.00</v>
      </c>
      <c r="P9" s="104" t="str">
        <f t="shared" si="11"/>
        <v>5.17</v>
      </c>
      <c r="Q9" s="104" t="str">
        <f t="shared" si="11"/>
        <v>5.17</v>
      </c>
      <c r="R9" s="108"/>
    </row>
    <row r="10" ht="18.95" customHeight="1" spans="1:18">
      <c r="A10" s="103"/>
      <c r="B10" s="90">
        <v>7</v>
      </c>
      <c r="C10" s="90" t="s">
        <v>5</v>
      </c>
      <c r="D10" s="104">
        <f t="shared" ref="D10:P10" si="12">D8+$R2</f>
        <v>29</v>
      </c>
      <c r="E10" s="104">
        <f t="shared" si="12"/>
        <v>29</v>
      </c>
      <c r="F10" s="104">
        <f t="shared" si="12"/>
        <v>30</v>
      </c>
      <c r="G10" s="104">
        <f t="shared" si="12"/>
        <v>30</v>
      </c>
      <c r="H10" s="104">
        <f t="shared" si="12"/>
        <v>31</v>
      </c>
      <c r="I10" s="105">
        <f t="shared" si="12"/>
        <v>31</v>
      </c>
      <c r="J10" s="106">
        <f t="shared" si="12"/>
        <v>32</v>
      </c>
      <c r="K10" s="106">
        <f t="shared" si="12"/>
        <v>32</v>
      </c>
      <c r="L10" s="107">
        <f t="shared" si="12"/>
        <v>33</v>
      </c>
      <c r="M10" s="104">
        <f t="shared" si="12"/>
        <v>33</v>
      </c>
      <c r="N10" s="104">
        <f t="shared" si="12"/>
        <v>34</v>
      </c>
      <c r="O10" s="104">
        <f t="shared" si="12"/>
        <v>34</v>
      </c>
      <c r="P10" s="104">
        <f t="shared" si="12"/>
        <v>35</v>
      </c>
      <c r="Q10" s="104">
        <f t="shared" ref="Q10" si="13">Q8+$R2</f>
        <v>35</v>
      </c>
      <c r="R10" s="108"/>
    </row>
    <row r="11" ht="18.95" customHeight="1" spans="1:18">
      <c r="A11" s="109"/>
      <c r="B11" s="90"/>
      <c r="C11" s="90" t="s">
        <v>6</v>
      </c>
      <c r="D11" s="104" t="str">
        <f t="shared" ref="D11:I11" si="14">FIXED(D10/$B10,2,TRUE)</f>
        <v>4.14</v>
      </c>
      <c r="E11" s="104" t="str">
        <f t="shared" si="14"/>
        <v>4.14</v>
      </c>
      <c r="F11" s="104" t="str">
        <f t="shared" si="14"/>
        <v>4.29</v>
      </c>
      <c r="G11" s="104" t="str">
        <f t="shared" si="14"/>
        <v>4.29</v>
      </c>
      <c r="H11" s="104" t="str">
        <f t="shared" si="14"/>
        <v>4.43</v>
      </c>
      <c r="I11" s="105" t="str">
        <f t="shared" si="14"/>
        <v>4.43</v>
      </c>
      <c r="J11" s="106" t="str">
        <f t="shared" ref="J11:Q11" si="15">FIXED(J10/$B10,2,TRUE)</f>
        <v>4.57</v>
      </c>
      <c r="K11" s="106" t="str">
        <f t="shared" si="15"/>
        <v>4.57</v>
      </c>
      <c r="L11" s="107" t="str">
        <f t="shared" si="15"/>
        <v>4.71</v>
      </c>
      <c r="M11" s="104" t="str">
        <f t="shared" si="15"/>
        <v>4.71</v>
      </c>
      <c r="N11" s="104" t="str">
        <f t="shared" si="15"/>
        <v>4.86</v>
      </c>
      <c r="O11" s="104" t="str">
        <f t="shared" si="15"/>
        <v>4.86</v>
      </c>
      <c r="P11" s="104" t="str">
        <f t="shared" si="15"/>
        <v>5.00</v>
      </c>
      <c r="Q11" s="104" t="str">
        <f t="shared" si="15"/>
        <v>5.00</v>
      </c>
      <c r="R11" s="110"/>
    </row>
    <row r="12" ht="18.95" customHeight="1" spans="1:18">
      <c r="A12" s="111" t="s">
        <v>7</v>
      </c>
      <c r="B12" s="112">
        <v>2</v>
      </c>
      <c r="C12" s="112" t="s">
        <v>5</v>
      </c>
      <c r="D12" s="113">
        <v>12</v>
      </c>
      <c r="E12" s="113">
        <f>D12</f>
        <v>12</v>
      </c>
      <c r="F12" s="113">
        <f>D12+1</f>
        <v>13</v>
      </c>
      <c r="G12" s="113">
        <f>D12+1</f>
        <v>13</v>
      </c>
      <c r="H12" s="113">
        <f>F12+1</f>
        <v>14</v>
      </c>
      <c r="I12" s="114">
        <f>F12+1</f>
        <v>14</v>
      </c>
      <c r="J12" s="115">
        <f>H12+1</f>
        <v>15</v>
      </c>
      <c r="K12" s="115">
        <f>H12+1</f>
        <v>15</v>
      </c>
      <c r="L12" s="116">
        <f>J12+1</f>
        <v>16</v>
      </c>
      <c r="M12" s="113">
        <f>J12+1</f>
        <v>16</v>
      </c>
      <c r="N12" s="113">
        <f>L12+1</f>
        <v>17</v>
      </c>
      <c r="O12" s="113">
        <f>L12+1</f>
        <v>17</v>
      </c>
      <c r="P12" s="113">
        <f>N12+1</f>
        <v>18</v>
      </c>
      <c r="Q12" s="113">
        <f>N12+1</f>
        <v>18</v>
      </c>
      <c r="R12" s="112">
        <v>6</v>
      </c>
    </row>
    <row r="13" ht="18.95" customHeight="1" spans="1:18">
      <c r="A13" s="117"/>
      <c r="B13" s="112"/>
      <c r="C13" s="112" t="s">
        <v>6</v>
      </c>
      <c r="D13" s="113" t="str">
        <f t="shared" ref="D13:I13" si="16">FIXED(D12/$B12,2,TRUE)</f>
        <v>6.00</v>
      </c>
      <c r="E13" s="113" t="str">
        <f t="shared" si="16"/>
        <v>6.00</v>
      </c>
      <c r="F13" s="113" t="str">
        <f t="shared" si="16"/>
        <v>6.50</v>
      </c>
      <c r="G13" s="113" t="str">
        <f t="shared" si="16"/>
        <v>6.50</v>
      </c>
      <c r="H13" s="113" t="str">
        <f t="shared" si="16"/>
        <v>7.00</v>
      </c>
      <c r="I13" s="114" t="str">
        <f t="shared" si="16"/>
        <v>7.00</v>
      </c>
      <c r="J13" s="115" t="str">
        <f t="shared" ref="J13:Q13" si="17">FIXED(J12/$B12,2,TRUE)</f>
        <v>7.50</v>
      </c>
      <c r="K13" s="115" t="str">
        <f t="shared" si="17"/>
        <v>7.50</v>
      </c>
      <c r="L13" s="116" t="str">
        <f t="shared" si="17"/>
        <v>8.00</v>
      </c>
      <c r="M13" s="113" t="str">
        <f t="shared" si="17"/>
        <v>8.00</v>
      </c>
      <c r="N13" s="113" t="str">
        <f t="shared" si="17"/>
        <v>8.50</v>
      </c>
      <c r="O13" s="113" t="str">
        <f t="shared" si="17"/>
        <v>8.50</v>
      </c>
      <c r="P13" s="113" t="str">
        <f t="shared" si="17"/>
        <v>9.00</v>
      </c>
      <c r="Q13" s="113" t="str">
        <f t="shared" si="17"/>
        <v>9.00</v>
      </c>
      <c r="R13" s="112"/>
    </row>
    <row r="14" ht="18.95" customHeight="1" spans="1:18">
      <c r="A14" s="117"/>
      <c r="B14" s="112">
        <v>3</v>
      </c>
      <c r="C14" s="112" t="s">
        <v>5</v>
      </c>
      <c r="D14" s="113">
        <f t="shared" ref="D14:P14" si="18">D12+$R12</f>
        <v>18</v>
      </c>
      <c r="E14" s="113">
        <f t="shared" si="18"/>
        <v>18</v>
      </c>
      <c r="F14" s="113">
        <f t="shared" si="18"/>
        <v>19</v>
      </c>
      <c r="G14" s="113">
        <f t="shared" si="18"/>
        <v>19</v>
      </c>
      <c r="H14" s="113">
        <f t="shared" si="18"/>
        <v>20</v>
      </c>
      <c r="I14" s="114">
        <f t="shared" si="18"/>
        <v>20</v>
      </c>
      <c r="J14" s="115">
        <f t="shared" si="18"/>
        <v>21</v>
      </c>
      <c r="K14" s="115">
        <f t="shared" si="18"/>
        <v>21</v>
      </c>
      <c r="L14" s="116">
        <f t="shared" si="18"/>
        <v>22</v>
      </c>
      <c r="M14" s="113">
        <f t="shared" si="18"/>
        <v>22</v>
      </c>
      <c r="N14" s="113">
        <f t="shared" si="18"/>
        <v>23</v>
      </c>
      <c r="O14" s="113">
        <f t="shared" si="18"/>
        <v>23</v>
      </c>
      <c r="P14" s="113">
        <f t="shared" si="18"/>
        <v>24</v>
      </c>
      <c r="Q14" s="113">
        <f t="shared" ref="Q14" si="19">Q12+$R12</f>
        <v>24</v>
      </c>
      <c r="R14" s="112"/>
    </row>
    <row r="15" ht="18.95" customHeight="1" spans="1:18">
      <c r="A15" s="117"/>
      <c r="B15" s="112"/>
      <c r="C15" s="112" t="s">
        <v>6</v>
      </c>
      <c r="D15" s="113" t="str">
        <f t="shared" ref="D15:I15" si="20">FIXED(D14/$B14,2,TRUE)</f>
        <v>6.00</v>
      </c>
      <c r="E15" s="113" t="str">
        <f t="shared" si="20"/>
        <v>6.00</v>
      </c>
      <c r="F15" s="113" t="str">
        <f t="shared" si="20"/>
        <v>6.33</v>
      </c>
      <c r="G15" s="113" t="str">
        <f t="shared" si="20"/>
        <v>6.33</v>
      </c>
      <c r="H15" s="113" t="str">
        <f t="shared" si="20"/>
        <v>6.67</v>
      </c>
      <c r="I15" s="114" t="str">
        <f t="shared" si="20"/>
        <v>6.67</v>
      </c>
      <c r="J15" s="115" t="str">
        <f t="shared" ref="J15:Q15" si="21">FIXED(J14/$B14,2,TRUE)</f>
        <v>7.00</v>
      </c>
      <c r="K15" s="115" t="str">
        <f t="shared" si="21"/>
        <v>7.00</v>
      </c>
      <c r="L15" s="116" t="str">
        <f t="shared" si="21"/>
        <v>7.33</v>
      </c>
      <c r="M15" s="113" t="str">
        <f t="shared" si="21"/>
        <v>7.33</v>
      </c>
      <c r="N15" s="113" t="str">
        <f t="shared" si="21"/>
        <v>7.67</v>
      </c>
      <c r="O15" s="113" t="str">
        <f t="shared" si="21"/>
        <v>7.67</v>
      </c>
      <c r="P15" s="113" t="str">
        <f t="shared" si="21"/>
        <v>8.00</v>
      </c>
      <c r="Q15" s="113" t="str">
        <f t="shared" si="21"/>
        <v>8.00</v>
      </c>
      <c r="R15" s="112"/>
    </row>
    <row r="16" ht="18.95" customHeight="1" spans="1:18">
      <c r="A16" s="117"/>
      <c r="B16" s="112">
        <v>4</v>
      </c>
      <c r="C16" s="112" t="s">
        <v>5</v>
      </c>
      <c r="D16" s="113">
        <f t="shared" ref="D16:P16" si="22">D14+$R12</f>
        <v>24</v>
      </c>
      <c r="E16" s="113">
        <f t="shared" si="22"/>
        <v>24</v>
      </c>
      <c r="F16" s="113">
        <f t="shared" si="22"/>
        <v>25</v>
      </c>
      <c r="G16" s="113">
        <f t="shared" si="22"/>
        <v>25</v>
      </c>
      <c r="H16" s="113">
        <f t="shared" si="22"/>
        <v>26</v>
      </c>
      <c r="I16" s="114">
        <f t="shared" si="22"/>
        <v>26</v>
      </c>
      <c r="J16" s="115">
        <f t="shared" si="22"/>
        <v>27</v>
      </c>
      <c r="K16" s="115">
        <f t="shared" si="22"/>
        <v>27</v>
      </c>
      <c r="L16" s="116">
        <f t="shared" si="22"/>
        <v>28</v>
      </c>
      <c r="M16" s="113">
        <f t="shared" si="22"/>
        <v>28</v>
      </c>
      <c r="N16" s="113">
        <f t="shared" si="22"/>
        <v>29</v>
      </c>
      <c r="O16" s="113">
        <f t="shared" si="22"/>
        <v>29</v>
      </c>
      <c r="P16" s="113">
        <f t="shared" si="22"/>
        <v>30</v>
      </c>
      <c r="Q16" s="113">
        <f t="shared" ref="Q16" si="23">Q14+$R12</f>
        <v>30</v>
      </c>
      <c r="R16" s="112"/>
    </row>
    <row r="17" ht="18.95" customHeight="1" spans="1:18">
      <c r="A17" s="117"/>
      <c r="B17" s="112"/>
      <c r="C17" s="112" t="s">
        <v>6</v>
      </c>
      <c r="D17" s="113" t="str">
        <f t="shared" ref="D17:I17" si="24">FIXED(D16/$B16,2,TRUE)</f>
        <v>6.00</v>
      </c>
      <c r="E17" s="113" t="str">
        <f t="shared" si="24"/>
        <v>6.00</v>
      </c>
      <c r="F17" s="113" t="str">
        <f t="shared" si="24"/>
        <v>6.25</v>
      </c>
      <c r="G17" s="113" t="str">
        <f t="shared" si="24"/>
        <v>6.25</v>
      </c>
      <c r="H17" s="113" t="str">
        <f t="shared" si="24"/>
        <v>6.50</v>
      </c>
      <c r="I17" s="114" t="str">
        <f t="shared" si="24"/>
        <v>6.50</v>
      </c>
      <c r="J17" s="115" t="str">
        <f t="shared" ref="J17:Q17" si="25">FIXED(J16/$B16,2,TRUE)</f>
        <v>6.75</v>
      </c>
      <c r="K17" s="115" t="str">
        <f t="shared" si="25"/>
        <v>6.75</v>
      </c>
      <c r="L17" s="116" t="str">
        <f t="shared" si="25"/>
        <v>7.00</v>
      </c>
      <c r="M17" s="113" t="str">
        <f t="shared" si="25"/>
        <v>7.00</v>
      </c>
      <c r="N17" s="113" t="str">
        <f t="shared" si="25"/>
        <v>7.25</v>
      </c>
      <c r="O17" s="113" t="str">
        <f t="shared" si="25"/>
        <v>7.25</v>
      </c>
      <c r="P17" s="113" t="str">
        <f t="shared" si="25"/>
        <v>7.50</v>
      </c>
      <c r="Q17" s="113" t="str">
        <f t="shared" si="25"/>
        <v>7.50</v>
      </c>
      <c r="R17" s="112"/>
    </row>
    <row r="18" ht="18.95" customHeight="1" spans="1:18">
      <c r="A18" s="117"/>
      <c r="B18" s="112">
        <v>5</v>
      </c>
      <c r="C18" s="112" t="s">
        <v>5</v>
      </c>
      <c r="D18" s="113">
        <f t="shared" ref="D18:P18" si="26">D16+$R12</f>
        <v>30</v>
      </c>
      <c r="E18" s="113">
        <f t="shared" si="26"/>
        <v>30</v>
      </c>
      <c r="F18" s="113">
        <f t="shared" si="26"/>
        <v>31</v>
      </c>
      <c r="G18" s="113">
        <f t="shared" si="26"/>
        <v>31</v>
      </c>
      <c r="H18" s="113">
        <f t="shared" si="26"/>
        <v>32</v>
      </c>
      <c r="I18" s="114">
        <f t="shared" si="26"/>
        <v>32</v>
      </c>
      <c r="J18" s="115">
        <f t="shared" si="26"/>
        <v>33</v>
      </c>
      <c r="K18" s="115">
        <f t="shared" si="26"/>
        <v>33</v>
      </c>
      <c r="L18" s="116">
        <f t="shared" si="26"/>
        <v>34</v>
      </c>
      <c r="M18" s="113">
        <f t="shared" si="26"/>
        <v>34</v>
      </c>
      <c r="N18" s="113">
        <f t="shared" si="26"/>
        <v>35</v>
      </c>
      <c r="O18" s="113">
        <f t="shared" si="26"/>
        <v>35</v>
      </c>
      <c r="P18" s="113">
        <f t="shared" si="26"/>
        <v>36</v>
      </c>
      <c r="Q18" s="113">
        <f t="shared" ref="Q18" si="27">Q16+$R12</f>
        <v>36</v>
      </c>
      <c r="R18" s="112"/>
    </row>
    <row r="19" ht="18.95" customHeight="1" spans="1:18">
      <c r="A19" s="117"/>
      <c r="B19" s="112"/>
      <c r="C19" s="112" t="s">
        <v>6</v>
      </c>
      <c r="D19" s="113" t="str">
        <f t="shared" ref="D19:I19" si="28">FIXED(D18/$B18,2,TRUE)</f>
        <v>6.00</v>
      </c>
      <c r="E19" s="113" t="str">
        <f t="shared" si="28"/>
        <v>6.00</v>
      </c>
      <c r="F19" s="113" t="str">
        <f t="shared" si="28"/>
        <v>6.20</v>
      </c>
      <c r="G19" s="113" t="str">
        <f t="shared" si="28"/>
        <v>6.20</v>
      </c>
      <c r="H19" s="113" t="str">
        <f t="shared" si="28"/>
        <v>6.40</v>
      </c>
      <c r="I19" s="114" t="str">
        <f t="shared" si="28"/>
        <v>6.40</v>
      </c>
      <c r="J19" s="115" t="str">
        <f t="shared" ref="J19:Q19" si="29">FIXED(J18/$B18,2,TRUE)</f>
        <v>6.60</v>
      </c>
      <c r="K19" s="115" t="str">
        <f t="shared" si="29"/>
        <v>6.60</v>
      </c>
      <c r="L19" s="116" t="str">
        <f t="shared" si="29"/>
        <v>6.80</v>
      </c>
      <c r="M19" s="113" t="str">
        <f t="shared" si="29"/>
        <v>6.80</v>
      </c>
      <c r="N19" s="113" t="str">
        <f t="shared" si="29"/>
        <v>7.00</v>
      </c>
      <c r="O19" s="113" t="str">
        <f t="shared" si="29"/>
        <v>7.00</v>
      </c>
      <c r="P19" s="113" t="str">
        <f t="shared" si="29"/>
        <v>7.20</v>
      </c>
      <c r="Q19" s="113" t="str">
        <f t="shared" si="29"/>
        <v>7.20</v>
      </c>
      <c r="R19" s="112"/>
    </row>
    <row r="20" ht="18.95" customHeight="1" spans="1:18">
      <c r="A20" s="117"/>
      <c r="B20" s="112">
        <v>6</v>
      </c>
      <c r="C20" s="112" t="s">
        <v>5</v>
      </c>
      <c r="D20" s="113">
        <f t="shared" ref="D20:P20" si="30">D18+$R12</f>
        <v>36</v>
      </c>
      <c r="E20" s="113">
        <f t="shared" si="30"/>
        <v>36</v>
      </c>
      <c r="F20" s="113">
        <f t="shared" si="30"/>
        <v>37</v>
      </c>
      <c r="G20" s="113">
        <f t="shared" si="30"/>
        <v>37</v>
      </c>
      <c r="H20" s="113">
        <f t="shared" si="30"/>
        <v>38</v>
      </c>
      <c r="I20" s="114">
        <f t="shared" si="30"/>
        <v>38</v>
      </c>
      <c r="J20" s="115">
        <f t="shared" si="30"/>
        <v>39</v>
      </c>
      <c r="K20" s="115">
        <f t="shared" si="30"/>
        <v>39</v>
      </c>
      <c r="L20" s="116">
        <f t="shared" si="30"/>
        <v>40</v>
      </c>
      <c r="M20" s="113">
        <f t="shared" si="30"/>
        <v>40</v>
      </c>
      <c r="N20" s="113">
        <f t="shared" si="30"/>
        <v>41</v>
      </c>
      <c r="O20" s="113">
        <f t="shared" si="30"/>
        <v>41</v>
      </c>
      <c r="P20" s="113">
        <f t="shared" si="30"/>
        <v>42</v>
      </c>
      <c r="Q20" s="113">
        <f t="shared" ref="Q20" si="31">Q18+$R12</f>
        <v>42</v>
      </c>
      <c r="R20" s="112"/>
    </row>
    <row r="21" ht="18.95" customHeight="1" spans="1:18">
      <c r="A21" s="118"/>
      <c r="B21" s="112"/>
      <c r="C21" s="112" t="s">
        <v>6</v>
      </c>
      <c r="D21" s="113" t="str">
        <f t="shared" ref="D21:I21" si="32">FIXED(D20/$B20,2,TRUE)</f>
        <v>6.00</v>
      </c>
      <c r="E21" s="113" t="str">
        <f t="shared" si="32"/>
        <v>6.00</v>
      </c>
      <c r="F21" s="113" t="str">
        <f t="shared" si="32"/>
        <v>6.17</v>
      </c>
      <c r="G21" s="113" t="str">
        <f t="shared" si="32"/>
        <v>6.17</v>
      </c>
      <c r="H21" s="113" t="str">
        <f t="shared" si="32"/>
        <v>6.33</v>
      </c>
      <c r="I21" s="114" t="str">
        <f t="shared" si="32"/>
        <v>6.33</v>
      </c>
      <c r="J21" s="115" t="str">
        <f t="shared" ref="J21:Q21" si="33">FIXED(J20/$B20,2,TRUE)</f>
        <v>6.50</v>
      </c>
      <c r="K21" s="115" t="str">
        <f t="shared" si="33"/>
        <v>6.50</v>
      </c>
      <c r="L21" s="116" t="str">
        <f t="shared" si="33"/>
        <v>6.67</v>
      </c>
      <c r="M21" s="113" t="str">
        <f t="shared" si="33"/>
        <v>6.67</v>
      </c>
      <c r="N21" s="113" t="str">
        <f t="shared" si="33"/>
        <v>6.83</v>
      </c>
      <c r="O21" s="113" t="str">
        <f t="shared" si="33"/>
        <v>6.83</v>
      </c>
      <c r="P21" s="113" t="str">
        <f t="shared" si="33"/>
        <v>7.00</v>
      </c>
      <c r="Q21" s="113" t="str">
        <f t="shared" si="33"/>
        <v>7.00</v>
      </c>
      <c r="R21" s="112"/>
    </row>
    <row r="22" ht="18.95" customHeight="1" spans="1:18">
      <c r="A22" s="97" t="s">
        <v>8</v>
      </c>
      <c r="B22" s="90">
        <v>1</v>
      </c>
      <c r="C22" s="90" t="s">
        <v>5</v>
      </c>
      <c r="D22" s="98">
        <v>9</v>
      </c>
      <c r="E22" s="98">
        <f>D22</f>
        <v>9</v>
      </c>
      <c r="F22" s="98">
        <f>D22+1</f>
        <v>10</v>
      </c>
      <c r="G22" s="98">
        <f>F22</f>
        <v>10</v>
      </c>
      <c r="H22" s="98">
        <v>10</v>
      </c>
      <c r="I22" s="99">
        <f>H22</f>
        <v>10</v>
      </c>
      <c r="J22" s="100">
        <f>H22+1</f>
        <v>11</v>
      </c>
      <c r="K22" s="100">
        <f>J22</f>
        <v>11</v>
      </c>
      <c r="L22" s="101">
        <v>11</v>
      </c>
      <c r="M22" s="98">
        <f>L22</f>
        <v>11</v>
      </c>
      <c r="N22" s="98">
        <f>L22+1</f>
        <v>12</v>
      </c>
      <c r="O22" s="98">
        <f>N22</f>
        <v>12</v>
      </c>
      <c r="P22" s="98">
        <v>12</v>
      </c>
      <c r="Q22" s="98">
        <f>P22</f>
        <v>12</v>
      </c>
      <c r="R22" s="108">
        <v>8</v>
      </c>
    </row>
    <row r="23" ht="18.95" customHeight="1" spans="1:18">
      <c r="A23" s="103"/>
      <c r="B23" s="90"/>
      <c r="C23" s="90" t="s">
        <v>6</v>
      </c>
      <c r="D23" s="104" t="str">
        <f t="shared" ref="D23:Q23" si="34">FIXED(D22/$B22,2,TRUE)</f>
        <v>9.00</v>
      </c>
      <c r="E23" s="104" t="str">
        <f t="shared" si="34"/>
        <v>9.00</v>
      </c>
      <c r="F23" s="104" t="str">
        <f t="shared" si="34"/>
        <v>10.00</v>
      </c>
      <c r="G23" s="104" t="str">
        <f t="shared" si="34"/>
        <v>10.00</v>
      </c>
      <c r="H23" s="104" t="str">
        <f t="shared" si="34"/>
        <v>10.00</v>
      </c>
      <c r="I23" s="105" t="str">
        <f t="shared" si="34"/>
        <v>10.00</v>
      </c>
      <c r="J23" s="106" t="str">
        <f t="shared" si="34"/>
        <v>11.00</v>
      </c>
      <c r="K23" s="106" t="str">
        <f t="shared" si="34"/>
        <v>11.00</v>
      </c>
      <c r="L23" s="107" t="str">
        <f t="shared" si="34"/>
        <v>11.00</v>
      </c>
      <c r="M23" s="104" t="str">
        <f t="shared" si="34"/>
        <v>11.00</v>
      </c>
      <c r="N23" s="104" t="str">
        <f t="shared" si="34"/>
        <v>12.00</v>
      </c>
      <c r="O23" s="104" t="str">
        <f t="shared" si="34"/>
        <v>12.00</v>
      </c>
      <c r="P23" s="104" t="str">
        <f t="shared" si="34"/>
        <v>12.00</v>
      </c>
      <c r="Q23" s="104" t="str">
        <f t="shared" si="34"/>
        <v>12.00</v>
      </c>
      <c r="R23" s="108"/>
    </row>
    <row r="24" ht="18.95" customHeight="1" spans="1:18">
      <c r="A24" s="103"/>
      <c r="B24" s="90">
        <v>2</v>
      </c>
      <c r="C24" s="90" t="s">
        <v>5</v>
      </c>
      <c r="D24" s="98">
        <f>D22+$R22</f>
        <v>17</v>
      </c>
      <c r="E24" s="98">
        <f>D24</f>
        <v>17</v>
      </c>
      <c r="F24" s="98">
        <f>E24+1</f>
        <v>18</v>
      </c>
      <c r="G24" s="98">
        <f>D24+1</f>
        <v>18</v>
      </c>
      <c r="H24" s="98">
        <f>G24+1</f>
        <v>19</v>
      </c>
      <c r="I24" s="99">
        <f>F24+1</f>
        <v>19</v>
      </c>
      <c r="J24" s="100">
        <f>H24+1</f>
        <v>20</v>
      </c>
      <c r="K24" s="100">
        <f>H24+1</f>
        <v>20</v>
      </c>
      <c r="L24" s="101">
        <f>J24+1</f>
        <v>21</v>
      </c>
      <c r="M24" s="98">
        <f>J24+1</f>
        <v>21</v>
      </c>
      <c r="N24" s="98">
        <f>L24+1</f>
        <v>22</v>
      </c>
      <c r="O24" s="98">
        <f>L24+1</f>
        <v>22</v>
      </c>
      <c r="P24" s="98">
        <f>N24+1</f>
        <v>23</v>
      </c>
      <c r="Q24" s="98">
        <f>N24+1</f>
        <v>23</v>
      </c>
      <c r="R24" s="108"/>
    </row>
    <row r="25" ht="18.95" customHeight="1" spans="1:18">
      <c r="A25" s="103"/>
      <c r="B25" s="90"/>
      <c r="C25" s="90" t="s">
        <v>6</v>
      </c>
      <c r="D25" s="104" t="str">
        <f t="shared" ref="D25:I25" si="35">FIXED(D24/$B24,2,TRUE)</f>
        <v>8.50</v>
      </c>
      <c r="E25" s="104" t="str">
        <f t="shared" si="35"/>
        <v>8.50</v>
      </c>
      <c r="F25" s="104" t="str">
        <f t="shared" si="35"/>
        <v>9.00</v>
      </c>
      <c r="G25" s="104" t="str">
        <f t="shared" si="35"/>
        <v>9.00</v>
      </c>
      <c r="H25" s="104" t="str">
        <f t="shared" si="35"/>
        <v>9.50</v>
      </c>
      <c r="I25" s="105" t="str">
        <f t="shared" si="35"/>
        <v>9.50</v>
      </c>
      <c r="J25" s="106" t="str">
        <f t="shared" ref="J25:Q25" si="36">FIXED(J24/$B24,2,TRUE)</f>
        <v>10.00</v>
      </c>
      <c r="K25" s="106" t="str">
        <f t="shared" si="36"/>
        <v>10.00</v>
      </c>
      <c r="L25" s="107" t="str">
        <f t="shared" si="36"/>
        <v>10.50</v>
      </c>
      <c r="M25" s="104" t="str">
        <f t="shared" si="36"/>
        <v>10.50</v>
      </c>
      <c r="N25" s="104" t="str">
        <f t="shared" si="36"/>
        <v>11.00</v>
      </c>
      <c r="O25" s="104" t="str">
        <f t="shared" si="36"/>
        <v>11.00</v>
      </c>
      <c r="P25" s="104" t="str">
        <f t="shared" si="36"/>
        <v>11.50</v>
      </c>
      <c r="Q25" s="104" t="str">
        <f t="shared" si="36"/>
        <v>11.50</v>
      </c>
      <c r="R25" s="108"/>
    </row>
    <row r="26" ht="18.95" customHeight="1" spans="1:18">
      <c r="A26" s="103"/>
      <c r="B26" s="90">
        <v>3</v>
      </c>
      <c r="C26" s="90" t="s">
        <v>5</v>
      </c>
      <c r="D26" s="104">
        <f t="shared" ref="D26:P26" si="37">D24+$R22</f>
        <v>25</v>
      </c>
      <c r="E26" s="104">
        <f t="shared" si="37"/>
        <v>25</v>
      </c>
      <c r="F26" s="104">
        <f t="shared" si="37"/>
        <v>26</v>
      </c>
      <c r="G26" s="104">
        <f t="shared" si="37"/>
        <v>26</v>
      </c>
      <c r="H26" s="104">
        <f t="shared" si="37"/>
        <v>27</v>
      </c>
      <c r="I26" s="105">
        <f t="shared" si="37"/>
        <v>27</v>
      </c>
      <c r="J26" s="106">
        <f t="shared" si="37"/>
        <v>28</v>
      </c>
      <c r="K26" s="106">
        <f t="shared" si="37"/>
        <v>28</v>
      </c>
      <c r="L26" s="107">
        <f t="shared" si="37"/>
        <v>29</v>
      </c>
      <c r="M26" s="104">
        <f t="shared" si="37"/>
        <v>29</v>
      </c>
      <c r="N26" s="104">
        <f t="shared" si="37"/>
        <v>30</v>
      </c>
      <c r="O26" s="104">
        <f t="shared" si="37"/>
        <v>30</v>
      </c>
      <c r="P26" s="104">
        <f t="shared" si="37"/>
        <v>31</v>
      </c>
      <c r="Q26" s="104">
        <f t="shared" ref="Q26" si="38">Q24+$R22</f>
        <v>31</v>
      </c>
      <c r="R26" s="108"/>
    </row>
    <row r="27" ht="18.95" customHeight="1" spans="1:18">
      <c r="A27" s="103"/>
      <c r="B27" s="90"/>
      <c r="C27" s="90" t="s">
        <v>6</v>
      </c>
      <c r="D27" s="104" t="str">
        <f t="shared" ref="D27:D31" si="39">FIXED(D26/$B26,2,TRUE)</f>
        <v>8.33</v>
      </c>
      <c r="E27" s="104" t="str">
        <f t="shared" ref="E27:J27" si="40">FIXED(E26/$B26,2,TRUE)</f>
        <v>8.33</v>
      </c>
      <c r="F27" s="104" t="str">
        <f t="shared" si="40"/>
        <v>8.67</v>
      </c>
      <c r="G27" s="104" t="str">
        <f t="shared" si="40"/>
        <v>8.67</v>
      </c>
      <c r="H27" s="104" t="str">
        <f t="shared" si="40"/>
        <v>9.00</v>
      </c>
      <c r="I27" s="105" t="str">
        <f t="shared" si="40"/>
        <v>9.00</v>
      </c>
      <c r="J27" s="106" t="str">
        <f t="shared" si="40"/>
        <v>9.33</v>
      </c>
      <c r="K27" s="106" t="str">
        <f t="shared" ref="K27:Q27" si="41">FIXED(K26/$B26,2,TRUE)</f>
        <v>9.33</v>
      </c>
      <c r="L27" s="107" t="str">
        <f t="shared" si="41"/>
        <v>9.67</v>
      </c>
      <c r="M27" s="104" t="str">
        <f t="shared" si="41"/>
        <v>9.67</v>
      </c>
      <c r="N27" s="104" t="str">
        <f t="shared" si="41"/>
        <v>10.00</v>
      </c>
      <c r="O27" s="104" t="str">
        <f t="shared" si="41"/>
        <v>10.00</v>
      </c>
      <c r="P27" s="104" t="str">
        <f t="shared" si="41"/>
        <v>10.33</v>
      </c>
      <c r="Q27" s="104" t="str">
        <f t="shared" si="41"/>
        <v>10.33</v>
      </c>
      <c r="R27" s="108"/>
    </row>
    <row r="28" ht="18.95" customHeight="1" spans="1:18">
      <c r="A28" s="103"/>
      <c r="B28" s="90">
        <v>4</v>
      </c>
      <c r="C28" s="90" t="s">
        <v>5</v>
      </c>
      <c r="D28" s="104">
        <f t="shared" ref="D28:P28" si="42">D26+$R22</f>
        <v>33</v>
      </c>
      <c r="E28" s="104">
        <f t="shared" si="42"/>
        <v>33</v>
      </c>
      <c r="F28" s="104">
        <f t="shared" si="42"/>
        <v>34</v>
      </c>
      <c r="G28" s="104">
        <f t="shared" si="42"/>
        <v>34</v>
      </c>
      <c r="H28" s="104">
        <f t="shared" si="42"/>
        <v>35</v>
      </c>
      <c r="I28" s="105">
        <f t="shared" si="42"/>
        <v>35</v>
      </c>
      <c r="J28" s="106">
        <f t="shared" si="42"/>
        <v>36</v>
      </c>
      <c r="K28" s="106">
        <f t="shared" si="42"/>
        <v>36</v>
      </c>
      <c r="L28" s="107">
        <f t="shared" si="42"/>
        <v>37</v>
      </c>
      <c r="M28" s="104">
        <f t="shared" si="42"/>
        <v>37</v>
      </c>
      <c r="N28" s="104">
        <f t="shared" si="42"/>
        <v>38</v>
      </c>
      <c r="O28" s="104">
        <f t="shared" si="42"/>
        <v>38</v>
      </c>
      <c r="P28" s="104">
        <f t="shared" si="42"/>
        <v>39</v>
      </c>
      <c r="Q28" s="104">
        <f t="shared" ref="Q28" si="43">Q26+$R22</f>
        <v>39</v>
      </c>
      <c r="R28" s="108"/>
    </row>
    <row r="29" ht="18.95" customHeight="1" spans="1:18">
      <c r="A29" s="103"/>
      <c r="B29" s="90"/>
      <c r="C29" s="90" t="s">
        <v>6</v>
      </c>
      <c r="D29" s="104" t="str">
        <f t="shared" si="39"/>
        <v>8.25</v>
      </c>
      <c r="E29" s="104" t="str">
        <f t="shared" ref="E29:J29" si="44">FIXED(E28/$B28,2,TRUE)</f>
        <v>8.25</v>
      </c>
      <c r="F29" s="104" t="str">
        <f t="shared" si="44"/>
        <v>8.50</v>
      </c>
      <c r="G29" s="104" t="str">
        <f t="shared" si="44"/>
        <v>8.50</v>
      </c>
      <c r="H29" s="104" t="str">
        <f t="shared" si="44"/>
        <v>8.75</v>
      </c>
      <c r="I29" s="105" t="str">
        <f t="shared" si="44"/>
        <v>8.75</v>
      </c>
      <c r="J29" s="106" t="str">
        <f t="shared" si="44"/>
        <v>9.00</v>
      </c>
      <c r="K29" s="106" t="str">
        <f t="shared" ref="K29:Q29" si="45">FIXED(K28/$B28,2,TRUE)</f>
        <v>9.00</v>
      </c>
      <c r="L29" s="107" t="str">
        <f t="shared" si="45"/>
        <v>9.25</v>
      </c>
      <c r="M29" s="104" t="str">
        <f t="shared" si="45"/>
        <v>9.25</v>
      </c>
      <c r="N29" s="104" t="str">
        <f t="shared" si="45"/>
        <v>9.50</v>
      </c>
      <c r="O29" s="104" t="str">
        <f t="shared" si="45"/>
        <v>9.50</v>
      </c>
      <c r="P29" s="104" t="str">
        <f t="shared" si="45"/>
        <v>9.75</v>
      </c>
      <c r="Q29" s="104" t="str">
        <f t="shared" si="45"/>
        <v>9.75</v>
      </c>
      <c r="R29" s="108"/>
    </row>
    <row r="30" ht="18.95" customHeight="1" spans="1:18">
      <c r="A30" s="103"/>
      <c r="B30" s="90">
        <v>5</v>
      </c>
      <c r="C30" s="90" t="s">
        <v>5</v>
      </c>
      <c r="D30" s="104">
        <f t="shared" ref="D30:P30" si="46">D28+$R22</f>
        <v>41</v>
      </c>
      <c r="E30" s="104">
        <f t="shared" si="46"/>
        <v>41</v>
      </c>
      <c r="F30" s="104">
        <f t="shared" si="46"/>
        <v>42</v>
      </c>
      <c r="G30" s="104">
        <f t="shared" si="46"/>
        <v>42</v>
      </c>
      <c r="H30" s="104">
        <f t="shared" si="46"/>
        <v>43</v>
      </c>
      <c r="I30" s="105">
        <f t="shared" si="46"/>
        <v>43</v>
      </c>
      <c r="J30" s="106">
        <f t="shared" si="46"/>
        <v>44</v>
      </c>
      <c r="K30" s="106">
        <f t="shared" si="46"/>
        <v>44</v>
      </c>
      <c r="L30" s="107">
        <f t="shared" si="46"/>
        <v>45</v>
      </c>
      <c r="M30" s="104">
        <f t="shared" si="46"/>
        <v>45</v>
      </c>
      <c r="N30" s="104">
        <f t="shared" si="46"/>
        <v>46</v>
      </c>
      <c r="O30" s="104">
        <f t="shared" si="46"/>
        <v>46</v>
      </c>
      <c r="P30" s="104">
        <f t="shared" si="46"/>
        <v>47</v>
      </c>
      <c r="Q30" s="104">
        <f t="shared" ref="Q30" si="47">Q28+$R22</f>
        <v>47</v>
      </c>
      <c r="R30" s="108"/>
    </row>
    <row r="31" ht="18.95" customHeight="1" spans="1:18">
      <c r="A31" s="109"/>
      <c r="B31" s="90"/>
      <c r="C31" s="90" t="s">
        <v>6</v>
      </c>
      <c r="D31" s="104" t="str">
        <f t="shared" si="39"/>
        <v>8.20</v>
      </c>
      <c r="E31" s="104" t="str">
        <f t="shared" ref="E31:J31" si="48">FIXED(E30/$B30,2,TRUE)</f>
        <v>8.20</v>
      </c>
      <c r="F31" s="104" t="str">
        <f t="shared" si="48"/>
        <v>8.40</v>
      </c>
      <c r="G31" s="104" t="str">
        <f t="shared" si="48"/>
        <v>8.40</v>
      </c>
      <c r="H31" s="104" t="str">
        <f t="shared" si="48"/>
        <v>8.60</v>
      </c>
      <c r="I31" s="105" t="str">
        <f t="shared" si="48"/>
        <v>8.60</v>
      </c>
      <c r="J31" s="106" t="str">
        <f t="shared" si="48"/>
        <v>8.80</v>
      </c>
      <c r="K31" s="106" t="str">
        <f t="shared" ref="K31:Q31" si="49">FIXED(K30/$B30,2,TRUE)</f>
        <v>8.80</v>
      </c>
      <c r="L31" s="107" t="str">
        <f t="shared" si="49"/>
        <v>9.00</v>
      </c>
      <c r="M31" s="104" t="str">
        <f t="shared" si="49"/>
        <v>9.00</v>
      </c>
      <c r="N31" s="104" t="str">
        <f t="shared" si="49"/>
        <v>9.20</v>
      </c>
      <c r="O31" s="104" t="str">
        <f t="shared" si="49"/>
        <v>9.20</v>
      </c>
      <c r="P31" s="104" t="str">
        <f t="shared" si="49"/>
        <v>9.40</v>
      </c>
      <c r="Q31" s="104" t="str">
        <f t="shared" si="49"/>
        <v>9.40</v>
      </c>
      <c r="R31" s="110"/>
    </row>
    <row r="32" ht="18.95" customHeight="1" spans="1:18">
      <c r="A32" s="111" t="s">
        <v>9</v>
      </c>
      <c r="B32" s="112">
        <v>1</v>
      </c>
      <c r="C32" s="112" t="s">
        <v>5</v>
      </c>
      <c r="D32" s="113">
        <v>11</v>
      </c>
      <c r="E32" s="113">
        <f>D32</f>
        <v>11</v>
      </c>
      <c r="F32" s="113">
        <f>E32+1</f>
        <v>12</v>
      </c>
      <c r="G32" s="113">
        <f>F32</f>
        <v>12</v>
      </c>
      <c r="H32" s="113">
        <v>12</v>
      </c>
      <c r="I32" s="114">
        <f>H32</f>
        <v>12</v>
      </c>
      <c r="J32" s="115">
        <f>I32+1</f>
        <v>13</v>
      </c>
      <c r="K32" s="115">
        <f>J32</f>
        <v>13</v>
      </c>
      <c r="L32" s="116">
        <v>13</v>
      </c>
      <c r="M32" s="113">
        <f>L32</f>
        <v>13</v>
      </c>
      <c r="N32" s="113">
        <f>M32+1</f>
        <v>14</v>
      </c>
      <c r="O32" s="113">
        <f>N32</f>
        <v>14</v>
      </c>
      <c r="P32" s="113">
        <v>14</v>
      </c>
      <c r="Q32" s="113">
        <f>P32</f>
        <v>14</v>
      </c>
      <c r="R32" s="112">
        <v>10</v>
      </c>
    </row>
    <row r="33" ht="18.95" customHeight="1" spans="1:18">
      <c r="A33" s="117"/>
      <c r="B33" s="112"/>
      <c r="C33" s="112" t="s">
        <v>6</v>
      </c>
      <c r="D33" s="113" t="str">
        <f t="shared" ref="D33:Q33" si="50">FIXED(D32/$B32,2,TRUE)</f>
        <v>11.00</v>
      </c>
      <c r="E33" s="113" t="str">
        <f t="shared" si="50"/>
        <v>11.00</v>
      </c>
      <c r="F33" s="113" t="str">
        <f t="shared" si="50"/>
        <v>12.00</v>
      </c>
      <c r="G33" s="113" t="str">
        <f t="shared" si="50"/>
        <v>12.00</v>
      </c>
      <c r="H33" s="113" t="str">
        <f t="shared" si="50"/>
        <v>12.00</v>
      </c>
      <c r="I33" s="114" t="str">
        <f t="shared" si="50"/>
        <v>12.00</v>
      </c>
      <c r="J33" s="115" t="str">
        <f t="shared" si="50"/>
        <v>13.00</v>
      </c>
      <c r="K33" s="115" t="str">
        <f t="shared" si="50"/>
        <v>13.00</v>
      </c>
      <c r="L33" s="116" t="str">
        <f t="shared" si="50"/>
        <v>13.00</v>
      </c>
      <c r="M33" s="113" t="str">
        <f t="shared" si="50"/>
        <v>13.00</v>
      </c>
      <c r="N33" s="113" t="str">
        <f t="shared" si="50"/>
        <v>14.00</v>
      </c>
      <c r="O33" s="113" t="str">
        <f t="shared" si="50"/>
        <v>14.00</v>
      </c>
      <c r="P33" s="113" t="str">
        <f t="shared" si="50"/>
        <v>14.00</v>
      </c>
      <c r="Q33" s="113" t="str">
        <f t="shared" si="50"/>
        <v>14.00</v>
      </c>
      <c r="R33" s="112"/>
    </row>
    <row r="34" ht="18.95" customHeight="1" spans="1:18">
      <c r="A34" s="117"/>
      <c r="B34" s="112">
        <v>2</v>
      </c>
      <c r="C34" s="112" t="s">
        <v>5</v>
      </c>
      <c r="D34" s="113">
        <f>D32+$R32</f>
        <v>21</v>
      </c>
      <c r="E34" s="113">
        <f>E32+$R32</f>
        <v>21</v>
      </c>
      <c r="F34" s="113">
        <f>D34+1</f>
        <v>22</v>
      </c>
      <c r="G34" s="113">
        <f>D34+1</f>
        <v>22</v>
      </c>
      <c r="H34" s="113">
        <f>F34+1</f>
        <v>23</v>
      </c>
      <c r="I34" s="114">
        <f>H34</f>
        <v>23</v>
      </c>
      <c r="J34" s="115">
        <f>H34+1</f>
        <v>24</v>
      </c>
      <c r="K34" s="115">
        <f>H34+1</f>
        <v>24</v>
      </c>
      <c r="L34" s="116">
        <f>J34+1</f>
        <v>25</v>
      </c>
      <c r="M34" s="113">
        <f>K34+1</f>
        <v>25</v>
      </c>
      <c r="N34" s="113">
        <f>L34+1</f>
        <v>26</v>
      </c>
      <c r="O34" s="113">
        <f>M34+1</f>
        <v>26</v>
      </c>
      <c r="P34" s="113">
        <f>N34+1</f>
        <v>27</v>
      </c>
      <c r="Q34" s="113">
        <f t="shared" ref="Q34" si="51">O34+1</f>
        <v>27</v>
      </c>
      <c r="R34" s="112"/>
    </row>
    <row r="35" ht="18.95" customHeight="1" spans="1:18">
      <c r="A35" s="117"/>
      <c r="B35" s="112"/>
      <c r="C35" s="112" t="s">
        <v>6</v>
      </c>
      <c r="D35" s="113" t="str">
        <f t="shared" ref="D35:I35" si="52">FIXED(D34/$B34,2,TRUE)</f>
        <v>10.50</v>
      </c>
      <c r="E35" s="113" t="str">
        <f t="shared" si="52"/>
        <v>10.50</v>
      </c>
      <c r="F35" s="113" t="str">
        <f t="shared" si="52"/>
        <v>11.00</v>
      </c>
      <c r="G35" s="113" t="str">
        <f t="shared" si="52"/>
        <v>11.00</v>
      </c>
      <c r="H35" s="113" t="str">
        <f t="shared" si="52"/>
        <v>11.50</v>
      </c>
      <c r="I35" s="114" t="str">
        <f t="shared" si="52"/>
        <v>11.50</v>
      </c>
      <c r="J35" s="115" t="str">
        <f t="shared" ref="J35:Q35" si="53">FIXED(J34/$B34,2,TRUE)</f>
        <v>12.00</v>
      </c>
      <c r="K35" s="115" t="str">
        <f t="shared" si="53"/>
        <v>12.00</v>
      </c>
      <c r="L35" s="116" t="str">
        <f t="shared" si="53"/>
        <v>12.50</v>
      </c>
      <c r="M35" s="113" t="str">
        <f t="shared" si="53"/>
        <v>12.50</v>
      </c>
      <c r="N35" s="113" t="str">
        <f t="shared" si="53"/>
        <v>13.00</v>
      </c>
      <c r="O35" s="113" t="str">
        <f t="shared" si="53"/>
        <v>13.00</v>
      </c>
      <c r="P35" s="113" t="str">
        <f t="shared" si="53"/>
        <v>13.50</v>
      </c>
      <c r="Q35" s="113" t="str">
        <f t="shared" si="53"/>
        <v>13.50</v>
      </c>
      <c r="R35" s="112"/>
    </row>
    <row r="36" ht="18.95" customHeight="1" spans="1:18">
      <c r="A36" s="117"/>
      <c r="B36" s="112">
        <v>3</v>
      </c>
      <c r="C36" s="112" t="s">
        <v>5</v>
      </c>
      <c r="D36" s="113">
        <f t="shared" ref="D36:P36" si="54">D34+$R32</f>
        <v>31</v>
      </c>
      <c r="E36" s="113">
        <f t="shared" si="54"/>
        <v>31</v>
      </c>
      <c r="F36" s="113">
        <f t="shared" si="54"/>
        <v>32</v>
      </c>
      <c r="G36" s="113">
        <f t="shared" si="54"/>
        <v>32</v>
      </c>
      <c r="H36" s="113">
        <f t="shared" si="54"/>
        <v>33</v>
      </c>
      <c r="I36" s="114">
        <f t="shared" si="54"/>
        <v>33</v>
      </c>
      <c r="J36" s="115">
        <f t="shared" si="54"/>
        <v>34</v>
      </c>
      <c r="K36" s="115">
        <f t="shared" si="54"/>
        <v>34</v>
      </c>
      <c r="L36" s="116">
        <f t="shared" si="54"/>
        <v>35</v>
      </c>
      <c r="M36" s="113">
        <f t="shared" si="54"/>
        <v>35</v>
      </c>
      <c r="N36" s="113">
        <f t="shared" si="54"/>
        <v>36</v>
      </c>
      <c r="O36" s="113">
        <f t="shared" si="54"/>
        <v>36</v>
      </c>
      <c r="P36" s="113">
        <f t="shared" si="54"/>
        <v>37</v>
      </c>
      <c r="Q36" s="113">
        <f t="shared" ref="Q36" si="55">Q34+$R32</f>
        <v>37</v>
      </c>
      <c r="R36" s="112"/>
    </row>
    <row r="37" ht="18.95" customHeight="1" spans="1:18">
      <c r="A37" s="117"/>
      <c r="B37" s="112"/>
      <c r="C37" s="112" t="s">
        <v>6</v>
      </c>
      <c r="D37" s="113" t="str">
        <f t="shared" ref="D37:I37" si="56">FIXED(D36/$B36,2,TRUE)</f>
        <v>10.33</v>
      </c>
      <c r="E37" s="113" t="str">
        <f t="shared" si="56"/>
        <v>10.33</v>
      </c>
      <c r="F37" s="113" t="str">
        <f t="shared" si="56"/>
        <v>10.67</v>
      </c>
      <c r="G37" s="113" t="str">
        <f t="shared" si="56"/>
        <v>10.67</v>
      </c>
      <c r="H37" s="113" t="str">
        <f t="shared" si="56"/>
        <v>11.00</v>
      </c>
      <c r="I37" s="114" t="str">
        <f t="shared" si="56"/>
        <v>11.00</v>
      </c>
      <c r="J37" s="115" t="str">
        <f t="shared" ref="J37:Q37" si="57">FIXED(J36/$B36,2,TRUE)</f>
        <v>11.33</v>
      </c>
      <c r="K37" s="115" t="str">
        <f t="shared" si="57"/>
        <v>11.33</v>
      </c>
      <c r="L37" s="116" t="str">
        <f t="shared" si="57"/>
        <v>11.67</v>
      </c>
      <c r="M37" s="113" t="str">
        <f t="shared" si="57"/>
        <v>11.67</v>
      </c>
      <c r="N37" s="113" t="str">
        <f t="shared" si="57"/>
        <v>12.00</v>
      </c>
      <c r="O37" s="113" t="str">
        <f t="shared" si="57"/>
        <v>12.00</v>
      </c>
      <c r="P37" s="113" t="str">
        <f t="shared" si="57"/>
        <v>12.33</v>
      </c>
      <c r="Q37" s="113" t="str">
        <f t="shared" si="57"/>
        <v>12.33</v>
      </c>
      <c r="R37" s="112"/>
    </row>
    <row r="38" ht="18.95" customHeight="1" spans="1:18">
      <c r="A38" s="117"/>
      <c r="B38" s="112">
        <v>4</v>
      </c>
      <c r="C38" s="112" t="s">
        <v>5</v>
      </c>
      <c r="D38" s="113">
        <f t="shared" ref="D38:P38" si="58">D36+$R32</f>
        <v>41</v>
      </c>
      <c r="E38" s="113">
        <f t="shared" si="58"/>
        <v>41</v>
      </c>
      <c r="F38" s="113">
        <f t="shared" si="58"/>
        <v>42</v>
      </c>
      <c r="G38" s="113">
        <f t="shared" si="58"/>
        <v>42</v>
      </c>
      <c r="H38" s="113">
        <f t="shared" si="58"/>
        <v>43</v>
      </c>
      <c r="I38" s="114">
        <f t="shared" si="58"/>
        <v>43</v>
      </c>
      <c r="J38" s="115">
        <f t="shared" si="58"/>
        <v>44</v>
      </c>
      <c r="K38" s="115">
        <f t="shared" si="58"/>
        <v>44</v>
      </c>
      <c r="L38" s="116">
        <f t="shared" si="58"/>
        <v>45</v>
      </c>
      <c r="M38" s="113">
        <f t="shared" si="58"/>
        <v>45</v>
      </c>
      <c r="N38" s="113">
        <f t="shared" si="58"/>
        <v>46</v>
      </c>
      <c r="O38" s="113">
        <f t="shared" si="58"/>
        <v>46</v>
      </c>
      <c r="P38" s="113">
        <f t="shared" si="58"/>
        <v>47</v>
      </c>
      <c r="Q38" s="113">
        <f t="shared" ref="Q38" si="59">Q36+$R32</f>
        <v>47</v>
      </c>
      <c r="R38" s="112"/>
    </row>
    <row r="39" ht="18.95" customHeight="1" spans="1:18">
      <c r="A39" s="118"/>
      <c r="B39" s="112"/>
      <c r="C39" s="112" t="s">
        <v>6</v>
      </c>
      <c r="D39" s="113" t="str">
        <f t="shared" ref="D39:I39" si="60">FIXED(D38/$B38,2,TRUE)</f>
        <v>10.25</v>
      </c>
      <c r="E39" s="113" t="str">
        <f t="shared" si="60"/>
        <v>10.25</v>
      </c>
      <c r="F39" s="113" t="str">
        <f t="shared" si="60"/>
        <v>10.50</v>
      </c>
      <c r="G39" s="113" t="str">
        <f t="shared" si="60"/>
        <v>10.50</v>
      </c>
      <c r="H39" s="113" t="str">
        <f t="shared" si="60"/>
        <v>10.75</v>
      </c>
      <c r="I39" s="114" t="str">
        <f t="shared" si="60"/>
        <v>10.75</v>
      </c>
      <c r="J39" s="115" t="str">
        <f t="shared" ref="J39:Q39" si="61">FIXED(J38/$B38,2,TRUE)</f>
        <v>11.00</v>
      </c>
      <c r="K39" s="115" t="str">
        <f t="shared" si="61"/>
        <v>11.00</v>
      </c>
      <c r="L39" s="116" t="str">
        <f t="shared" si="61"/>
        <v>11.25</v>
      </c>
      <c r="M39" s="113" t="str">
        <f t="shared" si="61"/>
        <v>11.25</v>
      </c>
      <c r="N39" s="113" t="str">
        <f t="shared" si="61"/>
        <v>11.50</v>
      </c>
      <c r="O39" s="113" t="str">
        <f t="shared" si="61"/>
        <v>11.50</v>
      </c>
      <c r="P39" s="113" t="str">
        <f t="shared" si="61"/>
        <v>11.75</v>
      </c>
      <c r="Q39" s="113" t="str">
        <f t="shared" si="61"/>
        <v>11.75</v>
      </c>
      <c r="R39" s="112"/>
    </row>
    <row r="40" ht="18.95" customHeight="1" spans="1:18">
      <c r="A40" s="119"/>
      <c r="B40" s="90"/>
      <c r="C40" s="90" t="s">
        <v>10</v>
      </c>
      <c r="D40" s="120" t="s">
        <v>11</v>
      </c>
      <c r="E40" s="120" t="s">
        <v>11</v>
      </c>
      <c r="F40" s="121" t="s">
        <v>12</v>
      </c>
      <c r="G40" s="121" t="s">
        <v>12</v>
      </c>
      <c r="H40" s="121" t="s">
        <v>13</v>
      </c>
      <c r="I40" s="121" t="s">
        <v>13</v>
      </c>
      <c r="J40" s="121" t="s">
        <v>14</v>
      </c>
      <c r="K40" s="121" t="s">
        <v>14</v>
      </c>
      <c r="L40" s="121" t="s">
        <v>15</v>
      </c>
      <c r="M40" s="121" t="s">
        <v>15</v>
      </c>
      <c r="N40" s="121" t="s">
        <v>16</v>
      </c>
      <c r="O40" s="121" t="s">
        <v>16</v>
      </c>
      <c r="P40" s="121" t="s">
        <v>17</v>
      </c>
      <c r="Q40" s="121" t="s">
        <v>17</v>
      </c>
      <c r="R40" s="90"/>
    </row>
    <row r="41" ht="18.95" customHeight="1" spans="1:18">
      <c r="A41" s="119"/>
      <c r="B41" s="90"/>
      <c r="C41" s="90" t="s">
        <v>18</v>
      </c>
      <c r="D41" s="120" t="s">
        <v>19</v>
      </c>
      <c r="E41" s="121">
        <v>0.4</v>
      </c>
      <c r="F41" s="121" t="s">
        <v>20</v>
      </c>
      <c r="G41" s="121">
        <v>0.6</v>
      </c>
      <c r="H41" s="121" t="s">
        <v>21</v>
      </c>
      <c r="I41" s="121">
        <v>0.8</v>
      </c>
      <c r="J41" s="121" t="s">
        <v>22</v>
      </c>
      <c r="K41" s="121">
        <v>1</v>
      </c>
      <c r="L41" s="121" t="s">
        <v>23</v>
      </c>
      <c r="M41" s="121">
        <v>1.2</v>
      </c>
      <c r="N41" s="121" t="s">
        <v>24</v>
      </c>
      <c r="O41" s="121">
        <v>1.4</v>
      </c>
      <c r="P41" s="121" t="s">
        <v>25</v>
      </c>
      <c r="Q41" s="121">
        <v>1.6</v>
      </c>
      <c r="R41" s="90"/>
    </row>
  </sheetData>
  <mergeCells count="27">
    <mergeCell ref="A2:A11"/>
    <mergeCell ref="A12:A21"/>
    <mergeCell ref="A22:A31"/>
    <mergeCell ref="A32:A39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R2:R11"/>
    <mergeCell ref="R12:R21"/>
    <mergeCell ref="R22:R31"/>
    <mergeCell ref="R32:R39"/>
  </mergeCells>
  <printOptions horizontalCentered="1" verticalCentered="1"/>
  <pageMargins left="0.708333333333333" right="0.708333333333333" top="0.550694444444444" bottom="0.550694444444444" header="0.314583333333333" footer="0.314583333333333"/>
  <pageSetup paperSize="8" fitToWidth="19" fitToHeight="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3"/>
  <sheetViews>
    <sheetView zoomScale="85" zoomScaleNormal="85" workbookViewId="0">
      <selection activeCell="D10" sqref="D10"/>
    </sheetView>
  </sheetViews>
  <sheetFormatPr defaultColWidth="9" defaultRowHeight="13.5" outlineLevelCol="7"/>
  <cols>
    <col min="1" max="5" width="13.875" customWidth="1"/>
    <col min="6" max="7" width="11.875" customWidth="1"/>
  </cols>
  <sheetData>
    <row r="1" ht="32.1" customHeight="1" spans="1:8">
      <c r="A1" s="61"/>
      <c r="B1" s="61"/>
      <c r="C1" s="61"/>
      <c r="D1" s="61"/>
      <c r="E1" s="61"/>
      <c r="F1" s="61"/>
      <c r="G1" s="61"/>
      <c r="H1" s="61"/>
    </row>
    <row r="2" ht="32.1" customHeight="1" spans="1:8">
      <c r="A2" s="57" t="s">
        <v>26</v>
      </c>
      <c r="B2" s="86">
        <v>5</v>
      </c>
      <c r="C2" s="87"/>
      <c r="D2" s="87"/>
      <c r="E2" s="88"/>
      <c r="F2" s="61"/>
      <c r="G2" s="61"/>
      <c r="H2" s="61"/>
    </row>
    <row r="3" ht="32.1" customHeight="1" spans="1:8">
      <c r="A3" s="57" t="s">
        <v>27</v>
      </c>
      <c r="B3" s="57" t="s">
        <v>28</v>
      </c>
      <c r="C3" s="57" t="s">
        <v>29</v>
      </c>
      <c r="D3" s="57" t="s">
        <v>30</v>
      </c>
      <c r="E3" s="57" t="s">
        <v>31</v>
      </c>
      <c r="F3" s="61"/>
      <c r="G3" s="61"/>
      <c r="H3" s="61"/>
    </row>
    <row r="4" ht="32.1" customHeight="1" spans="1:8">
      <c r="A4" s="57" t="s">
        <v>32</v>
      </c>
      <c r="B4" s="57">
        <v>5</v>
      </c>
      <c r="C4" s="57">
        <v>4</v>
      </c>
      <c r="D4" s="57">
        <v>0.5</v>
      </c>
      <c r="E4" s="57">
        <v>0.2</v>
      </c>
      <c r="F4" s="61"/>
      <c r="G4" s="61"/>
      <c r="H4" s="61"/>
    </row>
    <row r="5" ht="32.1" customHeight="1" spans="1:8">
      <c r="A5" s="57" t="s">
        <v>33</v>
      </c>
      <c r="B5" s="57">
        <v>4</v>
      </c>
      <c r="C5" s="57">
        <v>4</v>
      </c>
      <c r="D5" s="57">
        <v>1</v>
      </c>
      <c r="E5" s="57">
        <v>0.5</v>
      </c>
      <c r="F5" s="61"/>
      <c r="G5" s="61"/>
      <c r="H5" s="61"/>
    </row>
    <row r="6" ht="32.1" customHeight="1" spans="1:8">
      <c r="A6" s="57" t="s">
        <v>34</v>
      </c>
      <c r="B6" s="57">
        <v>2</v>
      </c>
      <c r="C6" s="57">
        <v>2</v>
      </c>
      <c r="D6" s="57">
        <v>1</v>
      </c>
      <c r="E6" s="57">
        <v>1</v>
      </c>
      <c r="F6" s="61"/>
      <c r="G6" s="61"/>
      <c r="H6" s="61"/>
    </row>
    <row r="7" ht="32.1" customHeight="1" spans="1:8">
      <c r="A7" s="57" t="s">
        <v>35</v>
      </c>
      <c r="B7" s="57">
        <v>0</v>
      </c>
      <c r="C7" s="57">
        <v>2</v>
      </c>
      <c r="D7" s="57">
        <v>1</v>
      </c>
      <c r="E7" s="57">
        <v>1</v>
      </c>
      <c r="F7" s="61"/>
      <c r="G7" s="61"/>
      <c r="H7" s="61"/>
    </row>
    <row r="8" ht="32.1" customHeight="1" spans="1:8">
      <c r="A8" s="55"/>
      <c r="B8" s="89"/>
      <c r="C8" s="89"/>
      <c r="D8" s="89"/>
      <c r="F8" s="61"/>
      <c r="G8" s="61"/>
      <c r="H8" s="61"/>
    </row>
    <row r="9" ht="32.1" customHeight="1" spans="1:8">
      <c r="A9" s="55"/>
      <c r="B9" s="89"/>
      <c r="C9" s="89"/>
      <c r="D9" s="89"/>
      <c r="F9" s="61"/>
      <c r="G9" s="61"/>
      <c r="H9" s="61"/>
    </row>
    <row r="10" ht="32.1" customHeight="1" spans="1:8">
      <c r="A10" s="55"/>
      <c r="F10" s="61"/>
      <c r="G10" s="61"/>
      <c r="H10" s="61"/>
    </row>
    <row r="11" ht="32.1" customHeight="1"/>
    <row r="12" ht="32.1" customHeight="1"/>
    <row r="13" ht="32.1" customHeight="1"/>
  </sheetData>
  <mergeCells count="1">
    <mergeCell ref="B2:E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X151"/>
  <sheetViews>
    <sheetView zoomScale="115" zoomScaleNormal="115" topLeftCell="I35" workbookViewId="0">
      <selection activeCell="Y158" sqref="Y158"/>
    </sheetView>
  </sheetViews>
  <sheetFormatPr defaultColWidth="9" defaultRowHeight="13.5"/>
  <cols>
    <col min="1" max="19" width="6.625" customWidth="1"/>
  </cols>
  <sheetData>
    <row r="1" s="77" customFormat="1" ht="20.25" spans="1:24">
      <c r="A1" s="78" t="s">
        <v>36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80"/>
    </row>
    <row r="2" s="77" customFormat="1" ht="20.25" customHeight="1" spans="1:24">
      <c r="A2" s="81" t="s">
        <v>37</v>
      </c>
      <c r="B2" s="81" t="s">
        <v>38</v>
      </c>
      <c r="C2" s="81"/>
      <c r="D2" s="78" t="s">
        <v>39</v>
      </c>
      <c r="E2" s="80"/>
      <c r="F2" s="81" t="s">
        <v>40</v>
      </c>
      <c r="G2" s="81"/>
      <c r="H2" s="81" t="s">
        <v>41</v>
      </c>
      <c r="I2" s="81"/>
      <c r="J2" s="81" t="s">
        <v>42</v>
      </c>
      <c r="K2" s="81"/>
      <c r="L2" s="81" t="s">
        <v>43</v>
      </c>
      <c r="M2" s="81"/>
      <c r="N2" s="81" t="s">
        <v>44</v>
      </c>
      <c r="O2" s="81"/>
      <c r="P2" s="81" t="s">
        <v>45</v>
      </c>
      <c r="Q2" s="81"/>
      <c r="R2" s="81" t="s">
        <v>46</v>
      </c>
      <c r="S2" s="81"/>
    </row>
    <row r="3" s="77" customFormat="1" ht="20.25" customHeight="1" spans="1:24">
      <c r="A3" s="81" t="s">
        <v>27</v>
      </c>
      <c r="B3" s="81" t="s">
        <v>47</v>
      </c>
      <c r="C3" s="81" t="s">
        <v>48</v>
      </c>
      <c r="D3" s="81" t="s">
        <v>47</v>
      </c>
      <c r="E3" s="81" t="s">
        <v>48</v>
      </c>
      <c r="F3" s="81" t="s">
        <v>47</v>
      </c>
      <c r="G3" s="81" t="s">
        <v>48</v>
      </c>
      <c r="H3" s="81" t="s">
        <v>47</v>
      </c>
      <c r="I3" s="81" t="s">
        <v>48</v>
      </c>
      <c r="J3" s="81" t="s">
        <v>49</v>
      </c>
      <c r="K3" s="81" t="s">
        <v>48</v>
      </c>
      <c r="L3" s="81" t="s">
        <v>47</v>
      </c>
      <c r="M3" s="81" t="s">
        <v>48</v>
      </c>
      <c r="N3" s="81" t="s">
        <v>47</v>
      </c>
      <c r="O3" s="81" t="s">
        <v>48</v>
      </c>
      <c r="P3" s="81" t="s">
        <v>47</v>
      </c>
      <c r="Q3" s="81" t="s">
        <v>48</v>
      </c>
      <c r="R3" s="81" t="s">
        <v>47</v>
      </c>
      <c r="S3" s="81" t="s">
        <v>48</v>
      </c>
    </row>
    <row r="4" s="77" customFormat="1" ht="20.25" spans="1:24">
      <c r="A4" s="81" t="s">
        <v>50</v>
      </c>
      <c r="B4" s="81" t="e">
        <f>#REF!</f>
        <v>#REF!</v>
      </c>
      <c r="C4" s="81" t="e">
        <f>#REF!+#REF!+#REF!+#REF!</f>
        <v>#REF!</v>
      </c>
      <c r="D4" s="81" t="e">
        <f>#REF!</f>
        <v>#REF!</v>
      </c>
      <c r="E4" s="81" t="e">
        <f>#REF!+#REF!+#REF!+#REF!</f>
        <v>#REF!</v>
      </c>
      <c r="F4" s="81" t="e">
        <f>#REF!</f>
        <v>#REF!</v>
      </c>
      <c r="G4" s="81" t="e">
        <f>#REF!+#REF!+#REF!+#REF!</f>
        <v>#REF!</v>
      </c>
      <c r="H4" s="81" t="e">
        <f>#REF!</f>
        <v>#REF!</v>
      </c>
      <c r="I4" s="81" t="e">
        <f>#REF!+#REF!+#REF!+#REF!</f>
        <v>#REF!</v>
      </c>
      <c r="J4" s="82" t="e">
        <f>K4/SUM($K$4:$K$18)</f>
        <v>#REF!</v>
      </c>
      <c r="K4" s="81" t="e">
        <f>C4+E4+G4+I4</f>
        <v>#REF!</v>
      </c>
      <c r="L4" s="82"/>
      <c r="M4" s="83" t="e">
        <f>#REF!+#REF!+#REF!+#REF!</f>
        <v>#REF!</v>
      </c>
      <c r="N4" s="82"/>
      <c r="O4" s="83" t="e">
        <f>#REF!+#REF!+#REF!+#REF!</f>
        <v>#REF!</v>
      </c>
      <c r="P4" s="82"/>
      <c r="Q4" s="83" t="e">
        <f>#REF!+#REF!+#REF!+#REF!</f>
        <v>#REF!</v>
      </c>
      <c r="R4" s="82"/>
      <c r="S4" s="83" t="e">
        <f>#REF!+#REF!+#REF!+#REF!</f>
        <v>#REF!</v>
      </c>
      <c r="X4" s="84" t="s">
        <v>51</v>
      </c>
    </row>
    <row r="5" s="77" customFormat="1" ht="20.25" spans="1:24">
      <c r="A5" s="81" t="s">
        <v>52</v>
      </c>
      <c r="B5" s="81" t="e">
        <f>#REF!</f>
        <v>#REF!</v>
      </c>
      <c r="C5" s="81" t="e">
        <f>#REF!+#REF!+#REF!+#REF!</f>
        <v>#REF!</v>
      </c>
      <c r="D5" s="81" t="e">
        <f>#REF!</f>
        <v>#REF!</v>
      </c>
      <c r="E5" s="81" t="e">
        <f>#REF!+#REF!+#REF!+#REF!</f>
        <v>#REF!</v>
      </c>
      <c r="F5" s="81" t="e">
        <f>#REF!</f>
        <v>#REF!</v>
      </c>
      <c r="G5" s="81" t="e">
        <f>#REF!+#REF!+#REF!+#REF!</f>
        <v>#REF!</v>
      </c>
      <c r="H5" s="81" t="e">
        <f>#REF!</f>
        <v>#REF!</v>
      </c>
      <c r="I5" s="81" t="e">
        <f>#REF!+#REF!+#REF!+#REF!</f>
        <v>#REF!</v>
      </c>
      <c r="J5" s="82" t="e">
        <f>K5/SUM($K$4:$K$18)</f>
        <v>#REF!</v>
      </c>
      <c r="K5" s="81" t="e">
        <f t="shared" ref="K5:K18" si="0">C5+E5+G5+I5</f>
        <v>#REF!</v>
      </c>
      <c r="L5" s="82"/>
      <c r="M5" s="83" t="e">
        <f>#REF!+#REF!+#REF!+#REF!</f>
        <v>#REF!</v>
      </c>
      <c r="N5" s="82"/>
      <c r="O5" s="83" t="e">
        <f>#REF!+#REF!+#REF!+#REF!</f>
        <v>#REF!</v>
      </c>
      <c r="P5" s="82"/>
      <c r="Q5" s="83" t="e">
        <f>#REF!+#REF!+#REF!+#REF!</f>
        <v>#REF!</v>
      </c>
      <c r="R5" s="82"/>
      <c r="S5" s="83" t="e">
        <f>#REF!+#REF!+#REF!+#REF!</f>
        <v>#REF!</v>
      </c>
    </row>
    <row r="6" s="77" customFormat="1" ht="20.25" spans="1:24">
      <c r="A6" s="81" t="s">
        <v>53</v>
      </c>
      <c r="B6" s="81" t="e">
        <f>#REF!</f>
        <v>#REF!</v>
      </c>
      <c r="C6" s="81" t="e">
        <f>#REF!+#REF!+#REF!+#REF!</f>
        <v>#REF!</v>
      </c>
      <c r="D6" s="81" t="e">
        <f>#REF!</f>
        <v>#REF!</v>
      </c>
      <c r="E6" s="81" t="e">
        <f>#REF!+#REF!+#REF!+#REF!</f>
        <v>#REF!</v>
      </c>
      <c r="F6" s="81" t="e">
        <f>#REF!</f>
        <v>#REF!</v>
      </c>
      <c r="G6" s="81" t="e">
        <f>#REF!+#REF!+#REF!+#REF!</f>
        <v>#REF!</v>
      </c>
      <c r="H6" s="81" t="e">
        <f>#REF!</f>
        <v>#REF!</v>
      </c>
      <c r="I6" s="81" t="e">
        <f>#REF!+#REF!+#REF!+#REF!</f>
        <v>#REF!</v>
      </c>
      <c r="J6" s="82" t="e">
        <f t="shared" ref="J6:J18" si="1">K6/SUM($K$4:$K$18)</f>
        <v>#REF!</v>
      </c>
      <c r="K6" s="81" t="e">
        <f t="shared" si="0"/>
        <v>#REF!</v>
      </c>
      <c r="L6" s="82"/>
      <c r="M6" s="83" t="e">
        <f>#REF!+#REF!+#REF!+#REF!</f>
        <v>#REF!</v>
      </c>
      <c r="N6" s="82"/>
      <c r="O6" s="83" t="e">
        <f>#REF!+#REF!+#REF!+#REF!</f>
        <v>#REF!</v>
      </c>
      <c r="P6" s="82"/>
      <c r="Q6" s="83" t="e">
        <f>#REF!+#REF!+#REF!+#REF!</f>
        <v>#REF!</v>
      </c>
      <c r="R6" s="82"/>
      <c r="S6" s="83" t="e">
        <f>#REF!+#REF!+#REF!+#REF!</f>
        <v>#REF!</v>
      </c>
    </row>
    <row r="7" s="77" customFormat="1" ht="20.25" spans="1:24">
      <c r="A7" s="81" t="s">
        <v>54</v>
      </c>
      <c r="B7" s="81" t="e">
        <f>#REF!</f>
        <v>#REF!</v>
      </c>
      <c r="C7" s="81" t="e">
        <f>#REF!+#REF!+#REF!+#REF!</f>
        <v>#REF!</v>
      </c>
      <c r="D7" s="81" t="e">
        <f>#REF!</f>
        <v>#REF!</v>
      </c>
      <c r="E7" s="81" t="e">
        <f>#REF!+#REF!+#REF!+#REF!</f>
        <v>#REF!</v>
      </c>
      <c r="F7" s="81" t="e">
        <f>#REF!</f>
        <v>#REF!</v>
      </c>
      <c r="G7" s="81" t="e">
        <f>#REF!+#REF!+#REF!+#REF!</f>
        <v>#REF!</v>
      </c>
      <c r="H7" s="81" t="e">
        <f>#REF!</f>
        <v>#REF!</v>
      </c>
      <c r="I7" s="81" t="e">
        <f>#REF!+#REF!+#REF!+#REF!</f>
        <v>#REF!</v>
      </c>
      <c r="J7" s="82" t="e">
        <f t="shared" si="1"/>
        <v>#REF!</v>
      </c>
      <c r="K7" s="81" t="e">
        <f t="shared" si="0"/>
        <v>#REF!</v>
      </c>
      <c r="L7" s="82"/>
      <c r="M7" s="83" t="e">
        <f>#REF!+#REF!+#REF!+#REF!</f>
        <v>#REF!</v>
      </c>
      <c r="N7" s="82"/>
      <c r="O7" s="83" t="e">
        <f>#REF!+#REF!+#REF!+#REF!</f>
        <v>#REF!</v>
      </c>
      <c r="P7" s="82"/>
      <c r="Q7" s="83" t="e">
        <f>#REF!+#REF!+#REF!+#REF!</f>
        <v>#REF!</v>
      </c>
      <c r="R7" s="82"/>
      <c r="S7" s="83" t="e">
        <f>#REF!+#REF!+#REF!+#REF!</f>
        <v>#REF!</v>
      </c>
    </row>
    <row r="8" s="77" customFormat="1" ht="20.25" customHeight="1" spans="1:24">
      <c r="A8" s="81" t="s">
        <v>55</v>
      </c>
      <c r="B8" s="81" t="e">
        <f>#REF!</f>
        <v>#REF!</v>
      </c>
      <c r="C8" s="81" t="e">
        <f>#REF!+#REF!+#REF!+#REF!</f>
        <v>#REF!</v>
      </c>
      <c r="D8" s="81" t="e">
        <f>#REF!</f>
        <v>#REF!</v>
      </c>
      <c r="E8" s="81" t="e">
        <f>#REF!+#REF!+#REF!+#REF!</f>
        <v>#REF!</v>
      </c>
      <c r="F8" s="81" t="e">
        <f>#REF!</f>
        <v>#REF!</v>
      </c>
      <c r="G8" s="81" t="e">
        <f>#REF!+#REF!+#REF!+#REF!</f>
        <v>#REF!</v>
      </c>
      <c r="H8" s="81" t="e">
        <f>#REF!</f>
        <v>#REF!</v>
      </c>
      <c r="I8" s="81" t="e">
        <f>#REF!+#REF!+#REF!+#REF!</f>
        <v>#REF!</v>
      </c>
      <c r="J8" s="82" t="e">
        <f t="shared" si="1"/>
        <v>#REF!</v>
      </c>
      <c r="K8" s="81" t="e">
        <f t="shared" si="0"/>
        <v>#REF!</v>
      </c>
      <c r="L8" s="82"/>
      <c r="M8" s="83" t="e">
        <f>#REF!+#REF!+#REF!+#REF!</f>
        <v>#REF!</v>
      </c>
      <c r="N8" s="82"/>
      <c r="O8" s="83" t="e">
        <f>#REF!+#REF!+#REF!+#REF!</f>
        <v>#REF!</v>
      </c>
      <c r="P8" s="82"/>
      <c r="Q8" s="83" t="e">
        <f>#REF!+#REF!+#REF!+#REF!</f>
        <v>#REF!</v>
      </c>
      <c r="R8" s="82"/>
      <c r="S8" s="83" t="e">
        <f>#REF!+#REF!+#REF!+#REF!</f>
        <v>#REF!</v>
      </c>
    </row>
    <row r="9" s="77" customFormat="1" ht="20.25" customHeight="1" spans="1:24">
      <c r="A9" s="81" t="s">
        <v>56</v>
      </c>
      <c r="B9" s="81" t="e">
        <f>#REF!</f>
        <v>#REF!</v>
      </c>
      <c r="C9" s="81" t="e">
        <f>#REF!+#REF!+#REF!+#REF!</f>
        <v>#REF!</v>
      </c>
      <c r="D9" s="81" t="e">
        <f>#REF!</f>
        <v>#REF!</v>
      </c>
      <c r="E9" s="81" t="e">
        <f>#REF!+#REF!+#REF!+#REF!</f>
        <v>#REF!</v>
      </c>
      <c r="F9" s="81" t="e">
        <f>#REF!</f>
        <v>#REF!</v>
      </c>
      <c r="G9" s="81" t="e">
        <f>#REF!+#REF!+#REF!+#REF!</f>
        <v>#REF!</v>
      </c>
      <c r="H9" s="81" t="e">
        <f>#REF!</f>
        <v>#REF!</v>
      </c>
      <c r="I9" s="81" t="e">
        <f>#REF!+#REF!+#REF!+#REF!</f>
        <v>#REF!</v>
      </c>
      <c r="J9" s="82" t="e">
        <f t="shared" si="1"/>
        <v>#REF!</v>
      </c>
      <c r="K9" s="81" t="e">
        <f t="shared" si="0"/>
        <v>#REF!</v>
      </c>
      <c r="L9" s="82"/>
      <c r="M9" s="83" t="e">
        <f>#REF!+#REF!+#REF!+#REF!</f>
        <v>#REF!</v>
      </c>
      <c r="N9" s="82"/>
      <c r="O9" s="83" t="e">
        <f>#REF!+#REF!+#REF!+#REF!</f>
        <v>#REF!</v>
      </c>
      <c r="P9" s="82"/>
      <c r="Q9" s="83" t="e">
        <f>#REF!+#REF!+#REF!+#REF!</f>
        <v>#REF!</v>
      </c>
      <c r="R9" s="82"/>
      <c r="S9" s="83" t="e">
        <f>#REF!+#REF!+#REF!+#REF!</f>
        <v>#REF!</v>
      </c>
    </row>
    <row r="10" s="77" customFormat="1" ht="20.25" customHeight="1" spans="1:24">
      <c r="A10" s="81" t="s">
        <v>57</v>
      </c>
      <c r="B10" s="81" t="e">
        <f>#REF!</f>
        <v>#REF!</v>
      </c>
      <c r="C10" s="81" t="e">
        <f>#REF!+#REF!+#REF!+#REF!</f>
        <v>#REF!</v>
      </c>
      <c r="D10" s="81" t="e">
        <f>#REF!</f>
        <v>#REF!</v>
      </c>
      <c r="E10" s="81" t="e">
        <f>#REF!+#REF!+#REF!+#REF!</f>
        <v>#REF!</v>
      </c>
      <c r="F10" s="81" t="e">
        <f>#REF!</f>
        <v>#REF!</v>
      </c>
      <c r="G10" s="81" t="e">
        <f>#REF!+#REF!+#REF!+#REF!</f>
        <v>#REF!</v>
      </c>
      <c r="H10" s="81" t="e">
        <f>#REF!</f>
        <v>#REF!</v>
      </c>
      <c r="I10" s="81" t="e">
        <f>#REF!+#REF!+#REF!+#REF!</f>
        <v>#REF!</v>
      </c>
      <c r="J10" s="82" t="e">
        <f t="shared" si="1"/>
        <v>#REF!</v>
      </c>
      <c r="K10" s="81" t="e">
        <f t="shared" si="0"/>
        <v>#REF!</v>
      </c>
      <c r="L10" s="82"/>
      <c r="M10" s="83" t="e">
        <f>#REF!+#REF!+#REF!+#REF!</f>
        <v>#REF!</v>
      </c>
      <c r="N10" s="82"/>
      <c r="O10" s="83" t="e">
        <f>#REF!+#REF!+#REF!+#REF!</f>
        <v>#REF!</v>
      </c>
      <c r="P10" s="82"/>
      <c r="Q10" s="83" t="e">
        <f>#REF!+#REF!+#REF!+#REF!</f>
        <v>#REF!</v>
      </c>
      <c r="R10" s="82"/>
      <c r="S10" s="83" t="e">
        <f>#REF!+#REF!+#REF!+#REF!</f>
        <v>#REF!</v>
      </c>
    </row>
    <row r="11" s="77" customFormat="1" ht="20.25" customHeight="1" spans="1:24">
      <c r="A11" s="81" t="s">
        <v>58</v>
      </c>
      <c r="B11" s="81" t="e">
        <f>#REF!</f>
        <v>#REF!</v>
      </c>
      <c r="C11" s="81" t="e">
        <f>#REF!+#REF!+#REF!+#REF!</f>
        <v>#REF!</v>
      </c>
      <c r="D11" s="81" t="e">
        <f>#REF!</f>
        <v>#REF!</v>
      </c>
      <c r="E11" s="81" t="e">
        <f>#REF!+#REF!+#REF!+#REF!</f>
        <v>#REF!</v>
      </c>
      <c r="F11" s="81" t="e">
        <f>#REF!</f>
        <v>#REF!</v>
      </c>
      <c r="G11" s="81" t="e">
        <f>#REF!+#REF!+#REF!+#REF!</f>
        <v>#REF!</v>
      </c>
      <c r="H11" s="81" t="e">
        <f>#REF!</f>
        <v>#REF!</v>
      </c>
      <c r="I11" s="81" t="e">
        <f>#REF!+#REF!+#REF!+#REF!</f>
        <v>#REF!</v>
      </c>
      <c r="J11" s="82" t="e">
        <f t="shared" si="1"/>
        <v>#REF!</v>
      </c>
      <c r="K11" s="81" t="e">
        <f t="shared" si="0"/>
        <v>#REF!</v>
      </c>
      <c r="L11" s="82"/>
      <c r="M11" s="83" t="e">
        <f>#REF!+#REF!+#REF!+#REF!</f>
        <v>#REF!</v>
      </c>
      <c r="N11" s="82"/>
      <c r="O11" s="83" t="e">
        <f>#REF!+#REF!+#REF!+#REF!</f>
        <v>#REF!</v>
      </c>
      <c r="P11" s="82"/>
      <c r="Q11" s="83" t="e">
        <f>#REF!+#REF!+#REF!+#REF!</f>
        <v>#REF!</v>
      </c>
      <c r="R11" s="82"/>
      <c r="S11" s="83" t="e">
        <f>#REF!+#REF!+#REF!+#REF!</f>
        <v>#REF!</v>
      </c>
    </row>
    <row r="12" s="77" customFormat="1" ht="20.25" customHeight="1" spans="1:24">
      <c r="A12" s="81" t="s">
        <v>59</v>
      </c>
      <c r="B12" s="81" t="e">
        <f>#REF!</f>
        <v>#REF!</v>
      </c>
      <c r="C12" s="81" t="e">
        <f>#REF!+#REF!+#REF!+#REF!</f>
        <v>#REF!</v>
      </c>
      <c r="D12" s="81" t="e">
        <f>#REF!</f>
        <v>#REF!</v>
      </c>
      <c r="E12" s="81" t="e">
        <f>#REF!+#REF!+#REF!+#REF!</f>
        <v>#REF!</v>
      </c>
      <c r="F12" s="81" t="e">
        <f>#REF!</f>
        <v>#REF!</v>
      </c>
      <c r="G12" s="81" t="e">
        <f>#REF!+#REF!+#REF!+#REF!</f>
        <v>#REF!</v>
      </c>
      <c r="H12" s="81" t="e">
        <f>#REF!</f>
        <v>#REF!</v>
      </c>
      <c r="I12" s="81" t="e">
        <f>#REF!+#REF!+#REF!+#REF!</f>
        <v>#REF!</v>
      </c>
      <c r="J12" s="82" t="e">
        <f t="shared" si="1"/>
        <v>#REF!</v>
      </c>
      <c r="K12" s="81" t="e">
        <f t="shared" si="0"/>
        <v>#REF!</v>
      </c>
      <c r="L12" s="82"/>
      <c r="M12" s="83" t="e">
        <f>#REF!+#REF!+#REF!+#REF!</f>
        <v>#REF!</v>
      </c>
      <c r="N12" s="82"/>
      <c r="O12" s="83" t="e">
        <f>#REF!+#REF!+#REF!+#REF!</f>
        <v>#REF!</v>
      </c>
      <c r="P12" s="82"/>
      <c r="Q12" s="83" t="e">
        <f>#REF!+#REF!+#REF!+#REF!</f>
        <v>#REF!</v>
      </c>
      <c r="R12" s="82"/>
      <c r="S12" s="83" t="e">
        <f>#REF!+#REF!+#REF!+#REF!</f>
        <v>#REF!</v>
      </c>
    </row>
    <row r="13" s="77" customFormat="1" ht="20.25" customHeight="1" spans="1:24">
      <c r="A13" s="81" t="s">
        <v>60</v>
      </c>
      <c r="B13" s="81" t="e">
        <f>#REF!</f>
        <v>#REF!</v>
      </c>
      <c r="C13" s="81" t="e">
        <f>#REF!+#REF!+#REF!+#REF!</f>
        <v>#REF!</v>
      </c>
      <c r="D13" s="81" t="e">
        <f>#REF!</f>
        <v>#REF!</v>
      </c>
      <c r="E13" s="81" t="e">
        <f>#REF!+#REF!+#REF!+#REF!</f>
        <v>#REF!</v>
      </c>
      <c r="F13" s="81" t="e">
        <f>#REF!</f>
        <v>#REF!</v>
      </c>
      <c r="G13" s="81" t="e">
        <f>#REF!+#REF!+#REF!+#REF!</f>
        <v>#REF!</v>
      </c>
      <c r="H13" s="81" t="e">
        <f>#REF!</f>
        <v>#REF!</v>
      </c>
      <c r="I13" s="81" t="e">
        <f>#REF!+#REF!+#REF!+#REF!</f>
        <v>#REF!</v>
      </c>
      <c r="J13" s="82" t="e">
        <f t="shared" si="1"/>
        <v>#REF!</v>
      </c>
      <c r="K13" s="81" t="e">
        <f t="shared" si="0"/>
        <v>#REF!</v>
      </c>
      <c r="L13" s="82"/>
      <c r="M13" s="83" t="e">
        <f>#REF!+#REF!+#REF!+#REF!</f>
        <v>#REF!</v>
      </c>
      <c r="N13" s="82"/>
      <c r="O13" s="83" t="e">
        <f>#REF!+#REF!+#REF!+#REF!</f>
        <v>#REF!</v>
      </c>
      <c r="P13" s="82"/>
      <c r="Q13" s="83" t="e">
        <f>#REF!+#REF!+#REF!+#REF!</f>
        <v>#REF!</v>
      </c>
      <c r="R13" s="82"/>
      <c r="S13" s="83" t="e">
        <f>#REF!+#REF!+#REF!+#REF!</f>
        <v>#REF!</v>
      </c>
    </row>
    <row r="14" s="77" customFormat="1" ht="20.25" customHeight="1" spans="1:24">
      <c r="A14" s="81" t="s">
        <v>61</v>
      </c>
      <c r="B14" s="81" t="e">
        <f>#REF!</f>
        <v>#REF!</v>
      </c>
      <c r="C14" s="81" t="e">
        <f>#REF!+#REF!+#REF!+#REF!</f>
        <v>#REF!</v>
      </c>
      <c r="D14" s="81" t="e">
        <f>#REF!</f>
        <v>#REF!</v>
      </c>
      <c r="E14" s="81" t="e">
        <f>#REF!+#REF!+#REF!+#REF!</f>
        <v>#REF!</v>
      </c>
      <c r="F14" s="81" t="e">
        <f>#REF!</f>
        <v>#REF!</v>
      </c>
      <c r="G14" s="81" t="e">
        <f>#REF!+#REF!+#REF!+#REF!</f>
        <v>#REF!</v>
      </c>
      <c r="H14" s="81" t="e">
        <f>#REF!</f>
        <v>#REF!</v>
      </c>
      <c r="I14" s="81" t="e">
        <f>#REF!+#REF!+#REF!+#REF!</f>
        <v>#REF!</v>
      </c>
      <c r="J14" s="82" t="e">
        <f t="shared" si="1"/>
        <v>#REF!</v>
      </c>
      <c r="K14" s="81" t="e">
        <f t="shared" si="0"/>
        <v>#REF!</v>
      </c>
      <c r="L14" s="82"/>
      <c r="M14" s="83" t="e">
        <f>#REF!+#REF!+#REF!+#REF!</f>
        <v>#REF!</v>
      </c>
      <c r="N14" s="82"/>
      <c r="O14" s="83" t="e">
        <f>#REF!+#REF!+#REF!+#REF!</f>
        <v>#REF!</v>
      </c>
      <c r="P14" s="82"/>
      <c r="Q14" s="83" t="e">
        <f>#REF!+#REF!+#REF!+#REF!</f>
        <v>#REF!</v>
      </c>
      <c r="R14" s="82"/>
      <c r="S14" s="83" t="e">
        <f>#REF!+#REF!+#REF!+#REF!</f>
        <v>#REF!</v>
      </c>
    </row>
    <row r="15" s="77" customFormat="1" ht="20.25" customHeight="1" spans="1:24">
      <c r="A15" s="81" t="s">
        <v>62</v>
      </c>
      <c r="B15" s="81" t="e">
        <f>#REF!</f>
        <v>#REF!</v>
      </c>
      <c r="C15" s="81" t="e">
        <f>#REF!+#REF!+#REF!+#REF!</f>
        <v>#REF!</v>
      </c>
      <c r="D15" s="81" t="e">
        <f>#REF!</f>
        <v>#REF!</v>
      </c>
      <c r="E15" s="81" t="e">
        <f>#REF!+#REF!+#REF!+#REF!</f>
        <v>#REF!</v>
      </c>
      <c r="F15" s="81" t="e">
        <f>#REF!</f>
        <v>#REF!</v>
      </c>
      <c r="G15" s="81" t="e">
        <f>#REF!+#REF!+#REF!+#REF!</f>
        <v>#REF!</v>
      </c>
      <c r="H15" s="81" t="e">
        <f>#REF!</f>
        <v>#REF!</v>
      </c>
      <c r="I15" s="81" t="e">
        <f>#REF!+#REF!+#REF!+#REF!</f>
        <v>#REF!</v>
      </c>
      <c r="J15" s="82" t="e">
        <f t="shared" si="1"/>
        <v>#REF!</v>
      </c>
      <c r="K15" s="81" t="e">
        <f t="shared" si="0"/>
        <v>#REF!</v>
      </c>
      <c r="L15" s="82"/>
      <c r="M15" s="83" t="e">
        <f>#REF!+#REF!+#REF!+#REF!</f>
        <v>#REF!</v>
      </c>
      <c r="N15" s="82"/>
      <c r="O15" s="83" t="e">
        <f>#REF!+#REF!+#REF!+#REF!</f>
        <v>#REF!</v>
      </c>
      <c r="P15" s="82"/>
      <c r="Q15" s="83" t="e">
        <f>#REF!+#REF!+#REF!+#REF!</f>
        <v>#REF!</v>
      </c>
      <c r="R15" s="82"/>
      <c r="S15" s="83" t="e">
        <f>#REF!+#REF!+#REF!+#REF!</f>
        <v>#REF!</v>
      </c>
    </row>
    <row r="16" s="77" customFormat="1" ht="20.25" customHeight="1" spans="1:24">
      <c r="A16" s="81" t="s">
        <v>63</v>
      </c>
      <c r="B16" s="81" t="e">
        <f>#REF!</f>
        <v>#REF!</v>
      </c>
      <c r="C16" s="81" t="e">
        <f>#REF!+#REF!+#REF!+#REF!</f>
        <v>#REF!</v>
      </c>
      <c r="D16" s="81" t="e">
        <f>#REF!</f>
        <v>#REF!</v>
      </c>
      <c r="E16" s="81" t="e">
        <f>#REF!+#REF!+#REF!+#REF!</f>
        <v>#REF!</v>
      </c>
      <c r="F16" s="81" t="e">
        <f>#REF!</f>
        <v>#REF!</v>
      </c>
      <c r="G16" s="81" t="e">
        <f>#REF!+#REF!+#REF!+#REF!</f>
        <v>#REF!</v>
      </c>
      <c r="H16" s="81" t="e">
        <f>#REF!</f>
        <v>#REF!</v>
      </c>
      <c r="I16" s="81" t="e">
        <f>#REF!+#REF!+#REF!+#REF!</f>
        <v>#REF!</v>
      </c>
      <c r="J16" s="82" t="e">
        <f t="shared" si="1"/>
        <v>#REF!</v>
      </c>
      <c r="K16" s="81" t="e">
        <f t="shared" si="0"/>
        <v>#REF!</v>
      </c>
      <c r="L16" s="82"/>
      <c r="M16" s="83" t="e">
        <f>#REF!+#REF!+#REF!+#REF!</f>
        <v>#REF!</v>
      </c>
      <c r="N16" s="82"/>
      <c r="O16" s="83" t="e">
        <f>#REF!+#REF!+#REF!+#REF!</f>
        <v>#REF!</v>
      </c>
      <c r="P16" s="82"/>
      <c r="Q16" s="83" t="e">
        <f>#REF!+#REF!+#REF!+#REF!</f>
        <v>#REF!</v>
      </c>
      <c r="R16" s="82"/>
      <c r="S16" s="83" t="e">
        <f>#REF!+#REF!+#REF!+#REF!</f>
        <v>#REF!</v>
      </c>
    </row>
    <row r="17" s="77" customFormat="1" ht="20.25" customHeight="1" spans="1:24">
      <c r="A17" s="81" t="s">
        <v>64</v>
      </c>
      <c r="B17" s="81" t="e">
        <f>#REF!</f>
        <v>#REF!</v>
      </c>
      <c r="C17" s="81" t="e">
        <f>#REF!+#REF!+#REF!+#REF!</f>
        <v>#REF!</v>
      </c>
      <c r="D17" s="81" t="e">
        <f>#REF!</f>
        <v>#REF!</v>
      </c>
      <c r="E17" s="81" t="e">
        <f>#REF!+#REF!+#REF!+#REF!</f>
        <v>#REF!</v>
      </c>
      <c r="F17" s="81" t="e">
        <f>#REF!</f>
        <v>#REF!</v>
      </c>
      <c r="G17" s="81" t="e">
        <f>#REF!+#REF!+#REF!+#REF!</f>
        <v>#REF!</v>
      </c>
      <c r="H17" s="81" t="e">
        <f>#REF!</f>
        <v>#REF!</v>
      </c>
      <c r="I17" s="81" t="e">
        <f>#REF!+#REF!+#REF!+#REF!</f>
        <v>#REF!</v>
      </c>
      <c r="J17" s="82" t="e">
        <f t="shared" si="1"/>
        <v>#REF!</v>
      </c>
      <c r="K17" s="81" t="e">
        <f t="shared" si="0"/>
        <v>#REF!</v>
      </c>
      <c r="L17" s="82"/>
      <c r="M17" s="83" t="e">
        <f>#REF!+#REF!+#REF!+#REF!</f>
        <v>#REF!</v>
      </c>
      <c r="N17" s="82"/>
      <c r="O17" s="83" t="e">
        <f>#REF!+#REF!+#REF!+#REF!</f>
        <v>#REF!</v>
      </c>
      <c r="P17" s="82"/>
      <c r="Q17" s="83" t="e">
        <f>#REF!+#REF!+#REF!+#REF!</f>
        <v>#REF!</v>
      </c>
      <c r="R17" s="82"/>
      <c r="S17" s="83" t="e">
        <f>#REF!+#REF!+#REF!+#REF!</f>
        <v>#REF!</v>
      </c>
    </row>
    <row r="18" s="77" customFormat="1" ht="20.25" customHeight="1" spans="1:24">
      <c r="A18" s="81" t="s">
        <v>65</v>
      </c>
      <c r="B18" s="81" t="e">
        <f>#REF!</f>
        <v>#REF!</v>
      </c>
      <c r="C18" s="81" t="e">
        <f>#REF!+#REF!+#REF!+#REF!</f>
        <v>#REF!</v>
      </c>
      <c r="D18" s="81" t="e">
        <f>#REF!</f>
        <v>#REF!</v>
      </c>
      <c r="E18" s="81" t="e">
        <f>#REF!+#REF!+#REF!+#REF!</f>
        <v>#REF!</v>
      </c>
      <c r="F18" s="81" t="e">
        <f>#REF!</f>
        <v>#REF!</v>
      </c>
      <c r="G18" s="81" t="e">
        <f>#REF!+#REF!+#REF!+#REF!</f>
        <v>#REF!</v>
      </c>
      <c r="H18" s="81" t="e">
        <f>#REF!</f>
        <v>#REF!</v>
      </c>
      <c r="I18" s="81" t="e">
        <f>#REF!+#REF!+#REF!+#REF!</f>
        <v>#REF!</v>
      </c>
      <c r="J18" s="82" t="e">
        <f t="shared" si="1"/>
        <v>#REF!</v>
      </c>
      <c r="K18" s="81" t="e">
        <f t="shared" si="0"/>
        <v>#REF!</v>
      </c>
      <c r="L18" s="82"/>
      <c r="M18" s="83" t="e">
        <f>#REF!+#REF!+#REF!+#REF!</f>
        <v>#REF!</v>
      </c>
      <c r="N18" s="82"/>
      <c r="O18" s="83" t="e">
        <f>#REF!+#REF!+#REF!+#REF!</f>
        <v>#REF!</v>
      </c>
      <c r="P18" s="82"/>
      <c r="Q18" s="83" t="e">
        <f>#REF!+#REF!+#REF!+#REF!</f>
        <v>#REF!</v>
      </c>
      <c r="R18" s="82"/>
      <c r="S18" s="83" t="e">
        <f>#REF!+#REF!+#REF!+#REF!</f>
        <v>#REF!</v>
      </c>
    </row>
    <row r="19" customHeight="1" spans="1:24">
      <c r="B19" s="85"/>
    </row>
    <row r="20" ht="20.25" spans="1:24">
      <c r="A20" s="81" t="s">
        <v>66</v>
      </c>
      <c r="B20" s="81" t="s">
        <v>67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</row>
    <row r="21" ht="20.25" spans="1:24">
      <c r="A21" s="81" t="s">
        <v>37</v>
      </c>
      <c r="B21" s="81" t="s">
        <v>38</v>
      </c>
      <c r="C21" s="81"/>
      <c r="D21" s="78" t="s">
        <v>39</v>
      </c>
      <c r="E21" s="80"/>
      <c r="F21" s="81" t="s">
        <v>40</v>
      </c>
      <c r="G21" s="81"/>
      <c r="H21" s="81" t="s">
        <v>41</v>
      </c>
      <c r="I21" s="81"/>
      <c r="J21" s="81" t="s">
        <v>42</v>
      </c>
      <c r="K21" s="81"/>
      <c r="L21" s="81" t="s">
        <v>43</v>
      </c>
      <c r="M21" s="81"/>
      <c r="N21" s="81" t="s">
        <v>44</v>
      </c>
      <c r="O21" s="81"/>
      <c r="P21" s="81" t="s">
        <v>45</v>
      </c>
      <c r="Q21" s="81"/>
      <c r="R21" s="81" t="s">
        <v>46</v>
      </c>
      <c r="S21" s="81"/>
      <c r="X21" s="84" t="s">
        <v>68</v>
      </c>
    </row>
    <row r="22" ht="20.25" spans="1:24">
      <c r="A22" s="81" t="s">
        <v>27</v>
      </c>
      <c r="B22" s="81" t="s">
        <v>47</v>
      </c>
      <c r="C22" s="81" t="s">
        <v>48</v>
      </c>
      <c r="D22" s="81" t="s">
        <v>47</v>
      </c>
      <c r="E22" s="81" t="s">
        <v>48</v>
      </c>
      <c r="F22" s="81" t="s">
        <v>47</v>
      </c>
      <c r="G22" s="81" t="s">
        <v>48</v>
      </c>
      <c r="H22" s="81" t="s">
        <v>47</v>
      </c>
      <c r="I22" s="81" t="s">
        <v>48</v>
      </c>
      <c r="J22" s="81" t="s">
        <v>49</v>
      </c>
      <c r="K22" s="81" t="s">
        <v>48</v>
      </c>
      <c r="L22" s="81" t="s">
        <v>47</v>
      </c>
      <c r="M22" s="81" t="s">
        <v>48</v>
      </c>
      <c r="N22" s="81" t="s">
        <v>47</v>
      </c>
      <c r="O22" s="81" t="s">
        <v>48</v>
      </c>
      <c r="P22" s="81" t="s">
        <v>47</v>
      </c>
      <c r="Q22" s="81" t="s">
        <v>48</v>
      </c>
      <c r="R22" s="81" t="s">
        <v>47</v>
      </c>
      <c r="S22" s="81" t="s">
        <v>48</v>
      </c>
    </row>
    <row r="23" ht="20.25" spans="1:24">
      <c r="A23" s="81" t="s">
        <v>50</v>
      </c>
      <c r="B23" s="81" t="e">
        <f>#REF!</f>
        <v>#REF!</v>
      </c>
      <c r="C23" s="81" t="e">
        <f>#REF!+#REF!+#REF!+#REF!</f>
        <v>#REF!</v>
      </c>
      <c r="D23" s="81" t="e">
        <f>#REF!</f>
        <v>#REF!</v>
      </c>
      <c r="E23" s="81" t="e">
        <f>#REF!+#REF!+#REF!+#REF!</f>
        <v>#REF!</v>
      </c>
      <c r="F23" s="81" t="e">
        <f>#REF!</f>
        <v>#REF!</v>
      </c>
      <c r="G23" s="81" t="e">
        <f>#REF!+#REF!+#REF!+#REF!</f>
        <v>#REF!</v>
      </c>
      <c r="H23" s="81" t="e">
        <f>#REF!</f>
        <v>#REF!</v>
      </c>
      <c r="I23" s="81" t="e">
        <f>#REF!+#REF!+#REF!+#REF!</f>
        <v>#REF!</v>
      </c>
      <c r="J23" s="82" t="e">
        <f>K23/SUM($K$23:$K$37)</f>
        <v>#REF!</v>
      </c>
      <c r="K23" s="81" t="e">
        <f>C23+E23+G23+I23</f>
        <v>#REF!</v>
      </c>
      <c r="L23" s="82"/>
      <c r="M23" s="83" t="e">
        <f>#REF!+#REF!+#REF!+#REF!</f>
        <v>#REF!</v>
      </c>
      <c r="N23" s="82"/>
      <c r="O23" s="83" t="e">
        <f>#REF!+#REF!+#REF!+#REF!</f>
        <v>#REF!</v>
      </c>
      <c r="P23" s="82"/>
      <c r="Q23" s="83" t="e">
        <f>#REF!+#REF!+#REF!+#REF!</f>
        <v>#REF!</v>
      </c>
      <c r="R23" s="82"/>
      <c r="S23" s="83" t="e">
        <f>#REF!+#REF!+#REF!+#REF!</f>
        <v>#REF!</v>
      </c>
    </row>
    <row r="24" ht="20.25" spans="1:24">
      <c r="A24" s="81" t="s">
        <v>52</v>
      </c>
      <c r="B24" s="81" t="e">
        <f>#REF!</f>
        <v>#REF!</v>
      </c>
      <c r="C24" s="81" t="e">
        <f>#REF!+#REF!+#REF!+#REF!</f>
        <v>#REF!</v>
      </c>
      <c r="D24" s="81" t="e">
        <f>#REF!</f>
        <v>#REF!</v>
      </c>
      <c r="E24" s="81" t="e">
        <f>#REF!+#REF!+#REF!+#REF!</f>
        <v>#REF!</v>
      </c>
      <c r="F24" s="81" t="e">
        <f>#REF!</f>
        <v>#REF!</v>
      </c>
      <c r="G24" s="81" t="e">
        <f>#REF!+#REF!+#REF!+#REF!</f>
        <v>#REF!</v>
      </c>
      <c r="H24" s="81" t="e">
        <f>#REF!</f>
        <v>#REF!</v>
      </c>
      <c r="I24" s="81" t="e">
        <f>#REF!+#REF!+#REF!+#REF!</f>
        <v>#REF!</v>
      </c>
      <c r="J24" s="82" t="e">
        <f t="shared" ref="J24:J37" si="2">K24/SUM($K$23:$K$37)</f>
        <v>#REF!</v>
      </c>
      <c r="K24" s="81" t="e">
        <f t="shared" ref="K24:K37" si="3">C24+E24+G24+I24</f>
        <v>#REF!</v>
      </c>
      <c r="L24" s="82"/>
      <c r="M24" s="83" t="e">
        <f>#REF!+#REF!+#REF!+#REF!</f>
        <v>#REF!</v>
      </c>
      <c r="N24" s="82"/>
      <c r="O24" s="83" t="e">
        <f>#REF!+#REF!+#REF!+#REF!</f>
        <v>#REF!</v>
      </c>
      <c r="P24" s="82"/>
      <c r="Q24" s="83" t="e">
        <f>#REF!+#REF!+#REF!+#REF!</f>
        <v>#REF!</v>
      </c>
      <c r="R24" s="82"/>
      <c r="S24" s="83" t="e">
        <f>#REF!+#REF!+#REF!+#REF!</f>
        <v>#REF!</v>
      </c>
    </row>
    <row r="25" ht="20.25" spans="1:24">
      <c r="A25" s="81" t="s">
        <v>53</v>
      </c>
      <c r="B25" s="81" t="e">
        <f>#REF!</f>
        <v>#REF!</v>
      </c>
      <c r="C25" s="81" t="e">
        <f>#REF!+#REF!+#REF!+#REF!</f>
        <v>#REF!</v>
      </c>
      <c r="D25" s="81" t="e">
        <f>#REF!</f>
        <v>#REF!</v>
      </c>
      <c r="E25" s="81" t="e">
        <f>#REF!+#REF!+#REF!+#REF!</f>
        <v>#REF!</v>
      </c>
      <c r="F25" s="81" t="e">
        <f>#REF!</f>
        <v>#REF!</v>
      </c>
      <c r="G25" s="81" t="e">
        <f>#REF!+#REF!+#REF!+#REF!</f>
        <v>#REF!</v>
      </c>
      <c r="H25" s="81" t="e">
        <f>#REF!</f>
        <v>#REF!</v>
      </c>
      <c r="I25" s="81" t="e">
        <f>#REF!+#REF!+#REF!+#REF!</f>
        <v>#REF!</v>
      </c>
      <c r="J25" s="82" t="e">
        <f t="shared" si="2"/>
        <v>#REF!</v>
      </c>
      <c r="K25" s="81" t="e">
        <f t="shared" si="3"/>
        <v>#REF!</v>
      </c>
      <c r="L25" s="82"/>
      <c r="M25" s="83" t="e">
        <f>#REF!+#REF!+#REF!+#REF!</f>
        <v>#REF!</v>
      </c>
      <c r="N25" s="82"/>
      <c r="O25" s="83" t="e">
        <f>#REF!+#REF!+#REF!+#REF!</f>
        <v>#REF!</v>
      </c>
      <c r="P25" s="82"/>
      <c r="Q25" s="83" t="e">
        <f>#REF!+#REF!+#REF!+#REF!</f>
        <v>#REF!</v>
      </c>
      <c r="R25" s="82"/>
      <c r="S25" s="83" t="e">
        <f>#REF!+#REF!+#REF!+#REF!</f>
        <v>#REF!</v>
      </c>
    </row>
    <row r="26" ht="20.25" spans="1:24">
      <c r="A26" s="81" t="s">
        <v>54</v>
      </c>
      <c r="B26" s="81" t="e">
        <f>#REF!</f>
        <v>#REF!</v>
      </c>
      <c r="C26" s="81" t="e">
        <f>#REF!+#REF!+#REF!+#REF!</f>
        <v>#REF!</v>
      </c>
      <c r="D26" s="81" t="e">
        <f>#REF!</f>
        <v>#REF!</v>
      </c>
      <c r="E26" s="81" t="e">
        <f>#REF!+#REF!+#REF!+#REF!</f>
        <v>#REF!</v>
      </c>
      <c r="F26" s="81" t="e">
        <f>#REF!</f>
        <v>#REF!</v>
      </c>
      <c r="G26" s="81" t="e">
        <f>#REF!+#REF!+#REF!+#REF!</f>
        <v>#REF!</v>
      </c>
      <c r="H26" s="81" t="e">
        <f>#REF!</f>
        <v>#REF!</v>
      </c>
      <c r="I26" s="81" t="e">
        <f>#REF!+#REF!+#REF!+#REF!</f>
        <v>#REF!</v>
      </c>
      <c r="J26" s="82" t="e">
        <f t="shared" si="2"/>
        <v>#REF!</v>
      </c>
      <c r="K26" s="81" t="e">
        <f t="shared" si="3"/>
        <v>#REF!</v>
      </c>
      <c r="L26" s="82"/>
      <c r="M26" s="83" t="e">
        <f>#REF!+#REF!+#REF!+#REF!</f>
        <v>#REF!</v>
      </c>
      <c r="N26" s="82"/>
      <c r="O26" s="83" t="e">
        <f>#REF!+#REF!+#REF!+#REF!</f>
        <v>#REF!</v>
      </c>
      <c r="P26" s="82"/>
      <c r="Q26" s="83" t="e">
        <f>#REF!+#REF!+#REF!+#REF!</f>
        <v>#REF!</v>
      </c>
      <c r="R26" s="82"/>
      <c r="S26" s="83" t="e">
        <f>#REF!+#REF!+#REF!+#REF!</f>
        <v>#REF!</v>
      </c>
    </row>
    <row r="27" ht="20.25" spans="1:24">
      <c r="A27" s="81" t="s">
        <v>55</v>
      </c>
      <c r="B27" s="81" t="e">
        <f>#REF!</f>
        <v>#REF!</v>
      </c>
      <c r="C27" s="81" t="e">
        <f>#REF!+#REF!+#REF!+#REF!</f>
        <v>#REF!</v>
      </c>
      <c r="D27" s="81" t="e">
        <f>#REF!</f>
        <v>#REF!</v>
      </c>
      <c r="E27" s="81" t="e">
        <f>#REF!+#REF!+#REF!+#REF!</f>
        <v>#REF!</v>
      </c>
      <c r="F27" s="81" t="e">
        <f>#REF!</f>
        <v>#REF!</v>
      </c>
      <c r="G27" s="81" t="e">
        <f>#REF!+#REF!+#REF!+#REF!</f>
        <v>#REF!</v>
      </c>
      <c r="H27" s="81" t="e">
        <f>#REF!</f>
        <v>#REF!</v>
      </c>
      <c r="I27" s="81" t="e">
        <f>#REF!+#REF!+#REF!+#REF!</f>
        <v>#REF!</v>
      </c>
      <c r="J27" s="82" t="e">
        <f t="shared" si="2"/>
        <v>#REF!</v>
      </c>
      <c r="K27" s="81" t="e">
        <f t="shared" si="3"/>
        <v>#REF!</v>
      </c>
      <c r="L27" s="82"/>
      <c r="M27" s="83" t="e">
        <f>#REF!+#REF!+#REF!+#REF!</f>
        <v>#REF!</v>
      </c>
      <c r="N27" s="82"/>
      <c r="O27" s="83" t="e">
        <f>#REF!+#REF!+#REF!+#REF!</f>
        <v>#REF!</v>
      </c>
      <c r="P27" s="82"/>
      <c r="Q27" s="83" t="e">
        <f>#REF!+#REF!+#REF!+#REF!</f>
        <v>#REF!</v>
      </c>
      <c r="R27" s="82"/>
      <c r="S27" s="83" t="e">
        <f>#REF!+#REF!+#REF!+#REF!</f>
        <v>#REF!</v>
      </c>
    </row>
    <row r="28" ht="20.25" spans="1:24">
      <c r="A28" s="81" t="s">
        <v>56</v>
      </c>
      <c r="B28" s="81" t="e">
        <f>#REF!</f>
        <v>#REF!</v>
      </c>
      <c r="C28" s="81" t="e">
        <f>#REF!+#REF!+#REF!+#REF!</f>
        <v>#REF!</v>
      </c>
      <c r="D28" s="81" t="e">
        <f>#REF!</f>
        <v>#REF!</v>
      </c>
      <c r="E28" s="81" t="e">
        <f>#REF!+#REF!+#REF!+#REF!</f>
        <v>#REF!</v>
      </c>
      <c r="F28" s="81" t="e">
        <f>#REF!</f>
        <v>#REF!</v>
      </c>
      <c r="G28" s="81" t="e">
        <f>#REF!+#REF!+#REF!+#REF!</f>
        <v>#REF!</v>
      </c>
      <c r="H28" s="81" t="e">
        <f>#REF!</f>
        <v>#REF!</v>
      </c>
      <c r="I28" s="81" t="e">
        <f>#REF!+#REF!+#REF!+#REF!</f>
        <v>#REF!</v>
      </c>
      <c r="J28" s="82" t="e">
        <f t="shared" si="2"/>
        <v>#REF!</v>
      </c>
      <c r="K28" s="81" t="e">
        <f t="shared" si="3"/>
        <v>#REF!</v>
      </c>
      <c r="L28" s="82"/>
      <c r="M28" s="83" t="e">
        <f>#REF!+#REF!+#REF!+#REF!</f>
        <v>#REF!</v>
      </c>
      <c r="N28" s="82"/>
      <c r="O28" s="83" t="e">
        <f>#REF!+#REF!+#REF!+#REF!</f>
        <v>#REF!</v>
      </c>
      <c r="P28" s="82"/>
      <c r="Q28" s="83" t="e">
        <f>#REF!+#REF!+#REF!+#REF!</f>
        <v>#REF!</v>
      </c>
      <c r="R28" s="82"/>
      <c r="S28" s="83" t="e">
        <f>#REF!+#REF!+#REF!+#REF!</f>
        <v>#REF!</v>
      </c>
    </row>
    <row r="29" ht="20.25" spans="1:24">
      <c r="A29" s="81" t="s">
        <v>57</v>
      </c>
      <c r="B29" s="81" t="e">
        <f>#REF!</f>
        <v>#REF!</v>
      </c>
      <c r="C29" s="81" t="e">
        <f>#REF!+#REF!+#REF!+#REF!</f>
        <v>#REF!</v>
      </c>
      <c r="D29" s="81" t="e">
        <f>#REF!</f>
        <v>#REF!</v>
      </c>
      <c r="E29" s="81" t="e">
        <f>#REF!+#REF!+#REF!+#REF!</f>
        <v>#REF!</v>
      </c>
      <c r="F29" s="81" t="e">
        <f>#REF!</f>
        <v>#REF!</v>
      </c>
      <c r="G29" s="81" t="e">
        <f>#REF!+#REF!+#REF!+#REF!</f>
        <v>#REF!</v>
      </c>
      <c r="H29" s="81" t="e">
        <f>#REF!</f>
        <v>#REF!</v>
      </c>
      <c r="I29" s="81" t="e">
        <f>#REF!+#REF!+#REF!+#REF!</f>
        <v>#REF!</v>
      </c>
      <c r="J29" s="82" t="e">
        <f t="shared" si="2"/>
        <v>#REF!</v>
      </c>
      <c r="K29" s="81" t="e">
        <f t="shared" si="3"/>
        <v>#REF!</v>
      </c>
      <c r="L29" s="82"/>
      <c r="M29" s="83" t="e">
        <f>#REF!+#REF!+#REF!+#REF!</f>
        <v>#REF!</v>
      </c>
      <c r="N29" s="82"/>
      <c r="O29" s="83" t="e">
        <f>#REF!+#REF!+#REF!+#REF!</f>
        <v>#REF!</v>
      </c>
      <c r="P29" s="82"/>
      <c r="Q29" s="83" t="e">
        <f>#REF!+#REF!+#REF!+#REF!</f>
        <v>#REF!</v>
      </c>
      <c r="R29" s="82"/>
      <c r="S29" s="83" t="e">
        <f>#REF!+#REF!+#REF!+#REF!</f>
        <v>#REF!</v>
      </c>
    </row>
    <row r="30" ht="20.25" spans="1:24">
      <c r="A30" s="81" t="s">
        <v>58</v>
      </c>
      <c r="B30" s="81" t="e">
        <f>#REF!</f>
        <v>#REF!</v>
      </c>
      <c r="C30" s="81" t="e">
        <f>#REF!+#REF!+#REF!+#REF!</f>
        <v>#REF!</v>
      </c>
      <c r="D30" s="81" t="e">
        <f>#REF!</f>
        <v>#REF!</v>
      </c>
      <c r="E30" s="81" t="e">
        <f>#REF!+#REF!+#REF!+#REF!</f>
        <v>#REF!</v>
      </c>
      <c r="F30" s="81" t="e">
        <f>#REF!</f>
        <v>#REF!</v>
      </c>
      <c r="G30" s="81" t="e">
        <f>#REF!+#REF!+#REF!+#REF!</f>
        <v>#REF!</v>
      </c>
      <c r="H30" s="81" t="e">
        <f>#REF!</f>
        <v>#REF!</v>
      </c>
      <c r="I30" s="81" t="e">
        <f>#REF!+#REF!+#REF!+#REF!</f>
        <v>#REF!</v>
      </c>
      <c r="J30" s="82" t="e">
        <f t="shared" si="2"/>
        <v>#REF!</v>
      </c>
      <c r="K30" s="81" t="e">
        <f t="shared" si="3"/>
        <v>#REF!</v>
      </c>
      <c r="L30" s="82"/>
      <c r="M30" s="83" t="e">
        <f>#REF!+#REF!+#REF!+#REF!</f>
        <v>#REF!</v>
      </c>
      <c r="N30" s="82"/>
      <c r="O30" s="83" t="e">
        <f>#REF!+#REF!+#REF!+#REF!</f>
        <v>#REF!</v>
      </c>
      <c r="P30" s="82"/>
      <c r="Q30" s="83" t="e">
        <f>#REF!+#REF!+#REF!+#REF!</f>
        <v>#REF!</v>
      </c>
      <c r="R30" s="82"/>
      <c r="S30" s="83" t="e">
        <f>#REF!+#REF!+#REF!+#REF!</f>
        <v>#REF!</v>
      </c>
    </row>
    <row r="31" ht="20.25" spans="1:24">
      <c r="A31" s="81" t="s">
        <v>59</v>
      </c>
      <c r="B31" s="81" t="e">
        <f>#REF!</f>
        <v>#REF!</v>
      </c>
      <c r="C31" s="81" t="e">
        <f>#REF!+#REF!+#REF!+#REF!</f>
        <v>#REF!</v>
      </c>
      <c r="D31" s="81" t="e">
        <f>#REF!</f>
        <v>#REF!</v>
      </c>
      <c r="E31" s="81" t="e">
        <f>#REF!+#REF!+#REF!+#REF!</f>
        <v>#REF!</v>
      </c>
      <c r="F31" s="81" t="e">
        <f>#REF!</f>
        <v>#REF!</v>
      </c>
      <c r="G31" s="81" t="e">
        <f>#REF!+#REF!+#REF!+#REF!</f>
        <v>#REF!</v>
      </c>
      <c r="H31" s="81" t="e">
        <f>#REF!</f>
        <v>#REF!</v>
      </c>
      <c r="I31" s="81" t="e">
        <f>#REF!+#REF!+#REF!+#REF!</f>
        <v>#REF!</v>
      </c>
      <c r="J31" s="82" t="e">
        <f t="shared" si="2"/>
        <v>#REF!</v>
      </c>
      <c r="K31" s="81" t="e">
        <f t="shared" si="3"/>
        <v>#REF!</v>
      </c>
      <c r="L31" s="82"/>
      <c r="M31" s="83" t="e">
        <f>#REF!+#REF!+#REF!+#REF!</f>
        <v>#REF!</v>
      </c>
      <c r="N31" s="82"/>
      <c r="O31" s="83" t="e">
        <f>#REF!+#REF!+#REF!+#REF!</f>
        <v>#REF!</v>
      </c>
      <c r="P31" s="82"/>
      <c r="Q31" s="83" t="e">
        <f>#REF!+#REF!+#REF!+#REF!</f>
        <v>#REF!</v>
      </c>
      <c r="R31" s="82"/>
      <c r="S31" s="83" t="e">
        <f>#REF!+#REF!+#REF!+#REF!</f>
        <v>#REF!</v>
      </c>
    </row>
    <row r="32" ht="20.25" spans="1:24">
      <c r="A32" s="81" t="s">
        <v>60</v>
      </c>
      <c r="B32" s="81" t="e">
        <f>#REF!</f>
        <v>#REF!</v>
      </c>
      <c r="C32" s="81" t="e">
        <f>#REF!+#REF!+#REF!+#REF!</f>
        <v>#REF!</v>
      </c>
      <c r="D32" s="81" t="e">
        <f>#REF!</f>
        <v>#REF!</v>
      </c>
      <c r="E32" s="81" t="e">
        <f>#REF!+#REF!+#REF!+#REF!</f>
        <v>#REF!</v>
      </c>
      <c r="F32" s="81" t="e">
        <f>#REF!</f>
        <v>#REF!</v>
      </c>
      <c r="G32" s="81" t="e">
        <f>#REF!+#REF!+#REF!+#REF!</f>
        <v>#REF!</v>
      </c>
      <c r="H32" s="81" t="e">
        <f>#REF!</f>
        <v>#REF!</v>
      </c>
      <c r="I32" s="81" t="e">
        <f>#REF!+#REF!+#REF!+#REF!</f>
        <v>#REF!</v>
      </c>
      <c r="J32" s="82" t="e">
        <f t="shared" si="2"/>
        <v>#REF!</v>
      </c>
      <c r="K32" s="81" t="e">
        <f t="shared" si="3"/>
        <v>#REF!</v>
      </c>
      <c r="L32" s="82"/>
      <c r="M32" s="83" t="e">
        <f>#REF!+#REF!+#REF!+#REF!</f>
        <v>#REF!</v>
      </c>
      <c r="N32" s="82"/>
      <c r="O32" s="83" t="e">
        <f>#REF!+#REF!+#REF!+#REF!</f>
        <v>#REF!</v>
      </c>
      <c r="P32" s="82"/>
      <c r="Q32" s="83" t="e">
        <f>#REF!+#REF!+#REF!+#REF!</f>
        <v>#REF!</v>
      </c>
      <c r="R32" s="82"/>
      <c r="S32" s="83" t="e">
        <f>#REF!+#REF!+#REF!+#REF!</f>
        <v>#REF!</v>
      </c>
    </row>
    <row r="33" ht="20.25" spans="1:24">
      <c r="A33" s="81" t="s">
        <v>61</v>
      </c>
      <c r="B33" s="81" t="e">
        <f>#REF!</f>
        <v>#REF!</v>
      </c>
      <c r="C33" s="81" t="e">
        <f>#REF!+#REF!+#REF!+#REF!</f>
        <v>#REF!</v>
      </c>
      <c r="D33" s="81" t="e">
        <f>#REF!</f>
        <v>#REF!</v>
      </c>
      <c r="E33" s="81" t="e">
        <f>#REF!+#REF!+#REF!+#REF!</f>
        <v>#REF!</v>
      </c>
      <c r="F33" s="81" t="e">
        <f>#REF!</f>
        <v>#REF!</v>
      </c>
      <c r="G33" s="81" t="e">
        <f>#REF!+#REF!+#REF!+#REF!</f>
        <v>#REF!</v>
      </c>
      <c r="H33" s="81" t="e">
        <f>#REF!</f>
        <v>#REF!</v>
      </c>
      <c r="I33" s="81" t="e">
        <f>#REF!+#REF!+#REF!+#REF!</f>
        <v>#REF!</v>
      </c>
      <c r="J33" s="82" t="e">
        <f t="shared" si="2"/>
        <v>#REF!</v>
      </c>
      <c r="K33" s="81" t="e">
        <f t="shared" si="3"/>
        <v>#REF!</v>
      </c>
      <c r="L33" s="82"/>
      <c r="M33" s="83" t="e">
        <f>#REF!+#REF!+#REF!+#REF!</f>
        <v>#REF!</v>
      </c>
      <c r="N33" s="82"/>
      <c r="O33" s="83" t="e">
        <f>#REF!+#REF!+#REF!+#REF!</f>
        <v>#REF!</v>
      </c>
      <c r="P33" s="82"/>
      <c r="Q33" s="83" t="e">
        <f>#REF!+#REF!+#REF!+#REF!</f>
        <v>#REF!</v>
      </c>
      <c r="R33" s="82"/>
      <c r="S33" s="83" t="e">
        <f>#REF!+#REF!+#REF!+#REF!</f>
        <v>#REF!</v>
      </c>
    </row>
    <row r="34" ht="20.25" spans="1:24">
      <c r="A34" s="81" t="s">
        <v>62</v>
      </c>
      <c r="B34" s="81" t="e">
        <f>#REF!</f>
        <v>#REF!</v>
      </c>
      <c r="C34" s="81" t="e">
        <f>#REF!+#REF!+#REF!+#REF!</f>
        <v>#REF!</v>
      </c>
      <c r="D34" s="81" t="e">
        <f>#REF!</f>
        <v>#REF!</v>
      </c>
      <c r="E34" s="81" t="e">
        <f>#REF!+#REF!+#REF!+#REF!</f>
        <v>#REF!</v>
      </c>
      <c r="F34" s="81" t="e">
        <f>#REF!</f>
        <v>#REF!</v>
      </c>
      <c r="G34" s="81" t="e">
        <f>#REF!+#REF!+#REF!+#REF!</f>
        <v>#REF!</v>
      </c>
      <c r="H34" s="81" t="e">
        <f>#REF!</f>
        <v>#REF!</v>
      </c>
      <c r="I34" s="81" t="e">
        <f>#REF!+#REF!+#REF!+#REF!</f>
        <v>#REF!</v>
      </c>
      <c r="J34" s="82" t="e">
        <f t="shared" si="2"/>
        <v>#REF!</v>
      </c>
      <c r="K34" s="81" t="e">
        <f t="shared" si="3"/>
        <v>#REF!</v>
      </c>
      <c r="L34" s="82"/>
      <c r="M34" s="83" t="e">
        <f>#REF!+#REF!+#REF!+#REF!</f>
        <v>#REF!</v>
      </c>
      <c r="N34" s="82"/>
      <c r="O34" s="83" t="e">
        <f>#REF!+#REF!+#REF!+#REF!</f>
        <v>#REF!</v>
      </c>
      <c r="P34" s="82"/>
      <c r="Q34" s="83" t="e">
        <f>#REF!+#REF!+#REF!+#REF!</f>
        <v>#REF!</v>
      </c>
      <c r="R34" s="82"/>
      <c r="S34" s="83" t="e">
        <f>#REF!+#REF!+#REF!+#REF!</f>
        <v>#REF!</v>
      </c>
    </row>
    <row r="35" ht="20.25" spans="1:24">
      <c r="A35" s="81" t="s">
        <v>63</v>
      </c>
      <c r="B35" s="81" t="e">
        <f>#REF!</f>
        <v>#REF!</v>
      </c>
      <c r="C35" s="81" t="e">
        <f>#REF!+#REF!+#REF!+#REF!</f>
        <v>#REF!</v>
      </c>
      <c r="D35" s="81" t="e">
        <f>#REF!</f>
        <v>#REF!</v>
      </c>
      <c r="E35" s="81" t="e">
        <f>#REF!+#REF!+#REF!+#REF!</f>
        <v>#REF!</v>
      </c>
      <c r="F35" s="81" t="e">
        <f>#REF!</f>
        <v>#REF!</v>
      </c>
      <c r="G35" s="81" t="e">
        <f>#REF!+#REF!+#REF!+#REF!</f>
        <v>#REF!</v>
      </c>
      <c r="H35" s="81" t="e">
        <f>#REF!</f>
        <v>#REF!</v>
      </c>
      <c r="I35" s="81" t="e">
        <f>#REF!+#REF!+#REF!+#REF!</f>
        <v>#REF!</v>
      </c>
      <c r="J35" s="82" t="e">
        <f t="shared" si="2"/>
        <v>#REF!</v>
      </c>
      <c r="K35" s="81" t="e">
        <f t="shared" si="3"/>
        <v>#REF!</v>
      </c>
      <c r="L35" s="82"/>
      <c r="M35" s="83" t="e">
        <f>#REF!+#REF!+#REF!+#REF!</f>
        <v>#REF!</v>
      </c>
      <c r="N35" s="82"/>
      <c r="O35" s="83" t="e">
        <f>#REF!+#REF!+#REF!+#REF!</f>
        <v>#REF!</v>
      </c>
      <c r="P35" s="82"/>
      <c r="Q35" s="83" t="e">
        <f>#REF!+#REF!+#REF!+#REF!</f>
        <v>#REF!</v>
      </c>
      <c r="R35" s="82"/>
      <c r="S35" s="83" t="e">
        <f>#REF!+#REF!+#REF!+#REF!</f>
        <v>#REF!</v>
      </c>
    </row>
    <row r="36" ht="20.25" spans="1:24">
      <c r="A36" s="81" t="s">
        <v>64</v>
      </c>
      <c r="B36" s="81" t="e">
        <f>#REF!</f>
        <v>#REF!</v>
      </c>
      <c r="C36" s="81" t="e">
        <f>#REF!+#REF!+#REF!+#REF!</f>
        <v>#REF!</v>
      </c>
      <c r="D36" s="81" t="e">
        <f>#REF!</f>
        <v>#REF!</v>
      </c>
      <c r="E36" s="81" t="e">
        <f>#REF!+#REF!+#REF!+#REF!</f>
        <v>#REF!</v>
      </c>
      <c r="F36" s="81" t="e">
        <f>#REF!</f>
        <v>#REF!</v>
      </c>
      <c r="G36" s="81" t="e">
        <f>#REF!+#REF!+#REF!+#REF!</f>
        <v>#REF!</v>
      </c>
      <c r="H36" s="81" t="e">
        <f>#REF!</f>
        <v>#REF!</v>
      </c>
      <c r="I36" s="81" t="e">
        <f>#REF!+#REF!+#REF!+#REF!</f>
        <v>#REF!</v>
      </c>
      <c r="J36" s="82" t="e">
        <f t="shared" si="2"/>
        <v>#REF!</v>
      </c>
      <c r="K36" s="81" t="e">
        <f t="shared" si="3"/>
        <v>#REF!</v>
      </c>
      <c r="L36" s="82"/>
      <c r="M36" s="83" t="e">
        <f>#REF!+#REF!+#REF!+#REF!</f>
        <v>#REF!</v>
      </c>
      <c r="N36" s="82"/>
      <c r="O36" s="83" t="e">
        <f>#REF!+#REF!+#REF!+#REF!</f>
        <v>#REF!</v>
      </c>
      <c r="P36" s="82"/>
      <c r="Q36" s="83" t="e">
        <f>#REF!+#REF!+#REF!+#REF!</f>
        <v>#REF!</v>
      </c>
      <c r="R36" s="82"/>
      <c r="S36" s="83" t="e">
        <f>#REF!+#REF!+#REF!+#REF!</f>
        <v>#REF!</v>
      </c>
    </row>
    <row r="37" ht="20.25" spans="1:24">
      <c r="A37" s="81" t="s">
        <v>65</v>
      </c>
      <c r="B37" s="81" t="e">
        <f>#REF!</f>
        <v>#REF!</v>
      </c>
      <c r="C37" s="81" t="e">
        <f>#REF!+#REF!+#REF!+#REF!</f>
        <v>#REF!</v>
      </c>
      <c r="D37" s="81" t="e">
        <f>#REF!</f>
        <v>#REF!</v>
      </c>
      <c r="E37" s="81" t="e">
        <f>#REF!+#REF!+#REF!+#REF!</f>
        <v>#REF!</v>
      </c>
      <c r="F37" s="81" t="e">
        <f>#REF!</f>
        <v>#REF!</v>
      </c>
      <c r="G37" s="81" t="e">
        <f>#REF!+#REF!+#REF!+#REF!</f>
        <v>#REF!</v>
      </c>
      <c r="H37" s="81" t="e">
        <f>#REF!</f>
        <v>#REF!</v>
      </c>
      <c r="I37" s="81" t="e">
        <f>#REF!+#REF!+#REF!+#REF!</f>
        <v>#REF!</v>
      </c>
      <c r="J37" s="82" t="e">
        <f t="shared" si="2"/>
        <v>#REF!</v>
      </c>
      <c r="K37" s="81" t="e">
        <f t="shared" si="3"/>
        <v>#REF!</v>
      </c>
      <c r="L37" s="82"/>
      <c r="M37" s="83" t="e">
        <f>#REF!+#REF!+#REF!+#REF!</f>
        <v>#REF!</v>
      </c>
      <c r="N37" s="82"/>
      <c r="O37" s="83" t="e">
        <f>#REF!+#REF!+#REF!+#REF!</f>
        <v>#REF!</v>
      </c>
      <c r="P37" s="82"/>
      <c r="Q37" s="83" t="e">
        <f>#REF!+#REF!+#REF!+#REF!</f>
        <v>#REF!</v>
      </c>
      <c r="R37" s="82"/>
      <c r="S37" s="83" t="e">
        <f>#REF!+#REF!+#REF!+#REF!</f>
        <v>#REF!</v>
      </c>
    </row>
    <row r="39" ht="20.25" spans="1:24">
      <c r="A39" s="81" t="s">
        <v>66</v>
      </c>
      <c r="B39" s="81" t="s">
        <v>69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</row>
    <row r="40" ht="20.25" spans="1:24">
      <c r="A40" s="81" t="s">
        <v>37</v>
      </c>
      <c r="B40" s="81" t="s">
        <v>38</v>
      </c>
      <c r="C40" s="81"/>
      <c r="D40" s="78" t="s">
        <v>39</v>
      </c>
      <c r="E40" s="80"/>
      <c r="F40" s="81" t="s">
        <v>40</v>
      </c>
      <c r="G40" s="81"/>
      <c r="H40" s="81" t="s">
        <v>41</v>
      </c>
      <c r="I40" s="81"/>
      <c r="J40" s="81" t="s">
        <v>42</v>
      </c>
      <c r="K40" s="81"/>
      <c r="L40" s="81" t="s">
        <v>43</v>
      </c>
      <c r="M40" s="81"/>
      <c r="N40" s="81" t="s">
        <v>44</v>
      </c>
      <c r="O40" s="81"/>
      <c r="P40" s="81" t="s">
        <v>45</v>
      </c>
      <c r="Q40" s="81"/>
      <c r="R40" s="81" t="s">
        <v>46</v>
      </c>
      <c r="S40" s="81"/>
    </row>
    <row r="41" ht="20.25" spans="1:24">
      <c r="A41" s="81" t="s">
        <v>27</v>
      </c>
      <c r="B41" s="81" t="s">
        <v>47</v>
      </c>
      <c r="C41" s="81" t="s">
        <v>48</v>
      </c>
      <c r="D41" s="81" t="s">
        <v>47</v>
      </c>
      <c r="E41" s="81" t="s">
        <v>48</v>
      </c>
      <c r="F41" s="81" t="s">
        <v>47</v>
      </c>
      <c r="G41" s="81" t="s">
        <v>48</v>
      </c>
      <c r="H41" s="81" t="s">
        <v>47</v>
      </c>
      <c r="I41" s="81" t="s">
        <v>48</v>
      </c>
      <c r="J41" s="81" t="s">
        <v>49</v>
      </c>
      <c r="K41" s="81" t="s">
        <v>48</v>
      </c>
      <c r="L41" s="81" t="s">
        <v>47</v>
      </c>
      <c r="M41" s="81" t="s">
        <v>48</v>
      </c>
      <c r="N41" s="81" t="s">
        <v>47</v>
      </c>
      <c r="O41" s="81" t="s">
        <v>48</v>
      </c>
      <c r="P41" s="81" t="s">
        <v>47</v>
      </c>
      <c r="Q41" s="81" t="s">
        <v>48</v>
      </c>
      <c r="R41" s="81" t="s">
        <v>47</v>
      </c>
      <c r="S41" s="81" t="s">
        <v>48</v>
      </c>
      <c r="X41" s="84" t="s">
        <v>70</v>
      </c>
    </row>
    <row r="42" ht="20.25" spans="1:24">
      <c r="A42" s="81" t="s">
        <v>50</v>
      </c>
      <c r="B42" s="81" t="e">
        <f>#REF!</f>
        <v>#REF!</v>
      </c>
      <c r="C42" s="81" t="e">
        <f>#REF!+#REF!+#REF!+#REF!</f>
        <v>#REF!</v>
      </c>
      <c r="D42" s="81" t="e">
        <f>#REF!</f>
        <v>#REF!</v>
      </c>
      <c r="E42" s="81" t="e">
        <f>#REF!+#REF!+#REF!+#REF!</f>
        <v>#REF!</v>
      </c>
      <c r="F42" s="81" t="e">
        <f>#REF!</f>
        <v>#REF!</v>
      </c>
      <c r="G42" s="81" t="e">
        <f>#REF!+#REF!+#REF!+#REF!</f>
        <v>#REF!</v>
      </c>
      <c r="H42" s="81" t="e">
        <f>#REF!</f>
        <v>#REF!</v>
      </c>
      <c r="I42" s="81" t="e">
        <f>#REF!+#REF!+#REF!+#REF!</f>
        <v>#REF!</v>
      </c>
      <c r="J42" s="82" t="e">
        <f>K42/SUM($K$42:$K$56)</f>
        <v>#REF!</v>
      </c>
      <c r="K42" s="81" t="e">
        <f>C42+E42+G42+I42</f>
        <v>#REF!</v>
      </c>
      <c r="L42" s="82"/>
      <c r="M42" s="83" t="e">
        <f>#REF!+#REF!+#REF!+#REF!</f>
        <v>#REF!</v>
      </c>
      <c r="N42" s="82"/>
      <c r="O42" s="83">
        <f>P62</f>
        <v>0</v>
      </c>
      <c r="P42" s="82"/>
      <c r="Q42" s="83" t="e">
        <f>#REF!+#REF!+#REF!+#REF!</f>
        <v>#REF!</v>
      </c>
      <c r="R42" s="82"/>
      <c r="S42" s="83" t="e">
        <f>#REF!+#REF!+#REF!+#REF!</f>
        <v>#REF!</v>
      </c>
    </row>
    <row r="43" ht="20.25" spans="1:24">
      <c r="A43" s="81" t="s">
        <v>52</v>
      </c>
      <c r="B43" s="81" t="e">
        <f>#REF!</f>
        <v>#REF!</v>
      </c>
      <c r="C43" s="81" t="e">
        <f>#REF!+#REF!+#REF!+#REF!</f>
        <v>#REF!</v>
      </c>
      <c r="D43" s="81" t="e">
        <f>#REF!</f>
        <v>#REF!</v>
      </c>
      <c r="E43" s="81" t="e">
        <f>#REF!+#REF!+#REF!+#REF!</f>
        <v>#REF!</v>
      </c>
      <c r="F43" s="81" t="e">
        <f>#REF!</f>
        <v>#REF!</v>
      </c>
      <c r="G43" s="81" t="e">
        <f>#REF!+#REF!+#REF!+#REF!</f>
        <v>#REF!</v>
      </c>
      <c r="H43" s="81" t="e">
        <f>#REF!</f>
        <v>#REF!</v>
      </c>
      <c r="I43" s="81" t="e">
        <f>#REF!+#REF!+#REF!+#REF!</f>
        <v>#REF!</v>
      </c>
      <c r="J43" s="82" t="e">
        <f t="shared" ref="J43:J56" si="4">K43/SUM($K$42:$K$56)</f>
        <v>#REF!</v>
      </c>
      <c r="K43" s="81" t="e">
        <f t="shared" ref="K43:K56" si="5">C43+E43+G43+I43</f>
        <v>#REF!</v>
      </c>
      <c r="L43" s="82"/>
      <c r="M43" s="83" t="e">
        <f>#REF!+#REF!+#REF!+#REF!</f>
        <v>#REF!</v>
      </c>
      <c r="N43" s="82"/>
      <c r="O43" s="83" t="e">
        <f>#REF!+#REF!+#REF!+#REF!</f>
        <v>#REF!</v>
      </c>
      <c r="P43" s="82"/>
      <c r="Q43" s="83" t="e">
        <f>#REF!+#REF!+#REF!+#REF!</f>
        <v>#REF!</v>
      </c>
      <c r="R43" s="82"/>
      <c r="S43" s="83" t="e">
        <f>#REF!+#REF!+#REF!+#REF!</f>
        <v>#REF!</v>
      </c>
    </row>
    <row r="44" ht="20.25" spans="1:24">
      <c r="A44" s="81" t="s">
        <v>53</v>
      </c>
      <c r="B44" s="81" t="e">
        <f>#REF!</f>
        <v>#REF!</v>
      </c>
      <c r="C44" s="81" t="e">
        <f>#REF!+#REF!+#REF!+#REF!</f>
        <v>#REF!</v>
      </c>
      <c r="D44" s="81" t="e">
        <f>#REF!</f>
        <v>#REF!</v>
      </c>
      <c r="E44" s="81" t="e">
        <f>#REF!+#REF!+#REF!+#REF!</f>
        <v>#REF!</v>
      </c>
      <c r="F44" s="81" t="e">
        <f>#REF!</f>
        <v>#REF!</v>
      </c>
      <c r="G44" s="81" t="e">
        <f>#REF!+#REF!+#REF!+#REF!</f>
        <v>#REF!</v>
      </c>
      <c r="H44" s="81" t="e">
        <f>#REF!</f>
        <v>#REF!</v>
      </c>
      <c r="I44" s="81" t="e">
        <f>#REF!+#REF!+#REF!+#REF!</f>
        <v>#REF!</v>
      </c>
      <c r="J44" s="82" t="e">
        <f t="shared" si="4"/>
        <v>#REF!</v>
      </c>
      <c r="K44" s="81" t="e">
        <f t="shared" si="5"/>
        <v>#REF!</v>
      </c>
      <c r="L44" s="82"/>
      <c r="M44" s="83" t="e">
        <f>#REF!+#REF!+#REF!+#REF!</f>
        <v>#REF!</v>
      </c>
      <c r="N44" s="82"/>
      <c r="O44" s="83" t="e">
        <f>#REF!+#REF!+#REF!+#REF!</f>
        <v>#REF!</v>
      </c>
      <c r="P44" s="82"/>
      <c r="Q44" s="83" t="e">
        <f>#REF!+#REF!+#REF!+#REF!</f>
        <v>#REF!</v>
      </c>
      <c r="R44" s="82"/>
      <c r="S44" s="83" t="e">
        <f>#REF!+#REF!+#REF!+#REF!</f>
        <v>#REF!</v>
      </c>
    </row>
    <row r="45" ht="20.25" spans="1:24">
      <c r="A45" s="81" t="s">
        <v>54</v>
      </c>
      <c r="B45" s="81" t="e">
        <f>#REF!</f>
        <v>#REF!</v>
      </c>
      <c r="C45" s="81" t="e">
        <f>#REF!+#REF!+#REF!+#REF!</f>
        <v>#REF!</v>
      </c>
      <c r="D45" s="81" t="e">
        <f>#REF!</f>
        <v>#REF!</v>
      </c>
      <c r="E45" s="81" t="e">
        <f>#REF!+#REF!+#REF!+#REF!</f>
        <v>#REF!</v>
      </c>
      <c r="F45" s="81" t="e">
        <f>#REF!</f>
        <v>#REF!</v>
      </c>
      <c r="G45" s="81" t="e">
        <f>#REF!+#REF!+#REF!+#REF!</f>
        <v>#REF!</v>
      </c>
      <c r="H45" s="81" t="e">
        <f>#REF!</f>
        <v>#REF!</v>
      </c>
      <c r="I45" s="81" t="e">
        <f>#REF!+#REF!+#REF!+#REF!</f>
        <v>#REF!</v>
      </c>
      <c r="J45" s="82" t="e">
        <f t="shared" si="4"/>
        <v>#REF!</v>
      </c>
      <c r="K45" s="81" t="e">
        <f t="shared" si="5"/>
        <v>#REF!</v>
      </c>
      <c r="L45" s="82"/>
      <c r="M45" s="83" t="e">
        <f>#REF!+#REF!+#REF!+#REF!</f>
        <v>#REF!</v>
      </c>
      <c r="N45" s="82"/>
      <c r="O45" s="83" t="e">
        <f>#REF!+#REF!+#REF!+#REF!</f>
        <v>#REF!</v>
      </c>
      <c r="P45" s="82"/>
      <c r="Q45" s="83" t="e">
        <f>#REF!+#REF!+#REF!+#REF!</f>
        <v>#REF!</v>
      </c>
      <c r="R45" s="82"/>
      <c r="S45" s="83" t="e">
        <f>#REF!+#REF!+#REF!+#REF!</f>
        <v>#REF!</v>
      </c>
    </row>
    <row r="46" ht="20.25" spans="1:24">
      <c r="A46" s="81" t="s">
        <v>55</v>
      </c>
      <c r="B46" s="81" t="e">
        <f>#REF!</f>
        <v>#REF!</v>
      </c>
      <c r="C46" s="81" t="e">
        <f>#REF!+#REF!+#REF!+#REF!</f>
        <v>#REF!</v>
      </c>
      <c r="D46" s="81" t="e">
        <f>#REF!</f>
        <v>#REF!</v>
      </c>
      <c r="E46" s="81" t="e">
        <f>#REF!+#REF!+#REF!+#REF!</f>
        <v>#REF!</v>
      </c>
      <c r="F46" s="81" t="e">
        <f>#REF!</f>
        <v>#REF!</v>
      </c>
      <c r="G46" s="81" t="e">
        <f>#REF!+#REF!+#REF!+#REF!</f>
        <v>#REF!</v>
      </c>
      <c r="H46" s="81" t="e">
        <f>#REF!</f>
        <v>#REF!</v>
      </c>
      <c r="I46" s="81" t="e">
        <f>#REF!+#REF!+#REF!+#REF!</f>
        <v>#REF!</v>
      </c>
      <c r="J46" s="82" t="e">
        <f t="shared" si="4"/>
        <v>#REF!</v>
      </c>
      <c r="K46" s="81" t="e">
        <f t="shared" si="5"/>
        <v>#REF!</v>
      </c>
      <c r="L46" s="82"/>
      <c r="M46" s="83" t="e">
        <f>#REF!+#REF!+#REF!+#REF!</f>
        <v>#REF!</v>
      </c>
      <c r="N46" s="82"/>
      <c r="O46" s="83" t="e">
        <f>#REF!+#REF!+#REF!+#REF!</f>
        <v>#REF!</v>
      </c>
      <c r="P46" s="82"/>
      <c r="Q46" s="83" t="e">
        <f>#REF!+#REF!+#REF!+#REF!</f>
        <v>#REF!</v>
      </c>
      <c r="R46" s="82"/>
      <c r="S46" s="83" t="e">
        <f>#REF!+#REF!+#REF!+#REF!</f>
        <v>#REF!</v>
      </c>
    </row>
    <row r="47" ht="20.25" spans="1:24">
      <c r="A47" s="81" t="s">
        <v>56</v>
      </c>
      <c r="B47" s="81" t="e">
        <f>#REF!</f>
        <v>#REF!</v>
      </c>
      <c r="C47" s="81" t="e">
        <f>#REF!+#REF!+#REF!+#REF!</f>
        <v>#REF!</v>
      </c>
      <c r="D47" s="81" t="e">
        <f>#REF!</f>
        <v>#REF!</v>
      </c>
      <c r="E47" s="81" t="e">
        <f>#REF!+#REF!+#REF!+#REF!</f>
        <v>#REF!</v>
      </c>
      <c r="F47" s="81" t="e">
        <f>#REF!</f>
        <v>#REF!</v>
      </c>
      <c r="G47" s="81" t="e">
        <f>#REF!+#REF!+#REF!+#REF!</f>
        <v>#REF!</v>
      </c>
      <c r="H47" s="81" t="e">
        <f>#REF!</f>
        <v>#REF!</v>
      </c>
      <c r="I47" s="81" t="e">
        <f>#REF!+#REF!+#REF!+#REF!</f>
        <v>#REF!</v>
      </c>
      <c r="J47" s="82" t="e">
        <f t="shared" si="4"/>
        <v>#REF!</v>
      </c>
      <c r="K47" s="81" t="e">
        <f t="shared" si="5"/>
        <v>#REF!</v>
      </c>
      <c r="L47" s="82"/>
      <c r="M47" s="83" t="e">
        <f>#REF!+#REF!+#REF!+#REF!</f>
        <v>#REF!</v>
      </c>
      <c r="N47" s="82"/>
      <c r="O47" s="83" t="e">
        <f>#REF!+#REF!+#REF!+#REF!</f>
        <v>#REF!</v>
      </c>
      <c r="P47" s="82"/>
      <c r="Q47" s="83" t="e">
        <f>#REF!+#REF!+#REF!+#REF!</f>
        <v>#REF!</v>
      </c>
      <c r="R47" s="82"/>
      <c r="S47" s="83" t="e">
        <f>#REF!+#REF!+#REF!+#REF!</f>
        <v>#REF!</v>
      </c>
    </row>
    <row r="48" ht="20.25" spans="1:24">
      <c r="A48" s="81" t="s">
        <v>57</v>
      </c>
      <c r="B48" s="81" t="e">
        <f>#REF!</f>
        <v>#REF!</v>
      </c>
      <c r="C48" s="81" t="e">
        <f>#REF!+#REF!+#REF!+#REF!</f>
        <v>#REF!</v>
      </c>
      <c r="D48" s="81" t="e">
        <f>#REF!</f>
        <v>#REF!</v>
      </c>
      <c r="E48" s="81" t="e">
        <f>#REF!+#REF!+#REF!+#REF!</f>
        <v>#REF!</v>
      </c>
      <c r="F48" s="81" t="e">
        <f>#REF!</f>
        <v>#REF!</v>
      </c>
      <c r="G48" s="81" t="e">
        <f>#REF!+#REF!+#REF!+#REF!</f>
        <v>#REF!</v>
      </c>
      <c r="H48" s="81" t="e">
        <f>#REF!</f>
        <v>#REF!</v>
      </c>
      <c r="I48" s="81" t="e">
        <f>#REF!+#REF!+#REF!+#REF!</f>
        <v>#REF!</v>
      </c>
      <c r="J48" s="82" t="e">
        <f t="shared" si="4"/>
        <v>#REF!</v>
      </c>
      <c r="K48" s="81" t="e">
        <f t="shared" si="5"/>
        <v>#REF!</v>
      </c>
      <c r="L48" s="82"/>
      <c r="M48" s="83" t="e">
        <f>#REF!+#REF!+#REF!+#REF!</f>
        <v>#REF!</v>
      </c>
      <c r="N48" s="82"/>
      <c r="O48" s="83" t="e">
        <f>#REF!+#REF!+#REF!+#REF!</f>
        <v>#REF!</v>
      </c>
      <c r="P48" s="82"/>
      <c r="Q48" s="83" t="e">
        <f>#REF!+#REF!+#REF!+#REF!</f>
        <v>#REF!</v>
      </c>
      <c r="R48" s="82"/>
      <c r="S48" s="83" t="e">
        <f>#REF!+#REF!+#REF!+#REF!</f>
        <v>#REF!</v>
      </c>
    </row>
    <row r="49" ht="20.25" spans="1:24">
      <c r="A49" s="81" t="s">
        <v>58</v>
      </c>
      <c r="B49" s="81" t="e">
        <f>#REF!</f>
        <v>#REF!</v>
      </c>
      <c r="C49" s="81" t="e">
        <f>#REF!+#REF!+#REF!+#REF!</f>
        <v>#REF!</v>
      </c>
      <c r="D49" s="81" t="e">
        <f>#REF!</f>
        <v>#REF!</v>
      </c>
      <c r="E49" s="81" t="e">
        <f>#REF!+#REF!+#REF!+#REF!</f>
        <v>#REF!</v>
      </c>
      <c r="F49" s="81" t="e">
        <f>#REF!</f>
        <v>#REF!</v>
      </c>
      <c r="G49" s="81" t="e">
        <f>#REF!+#REF!+#REF!+#REF!</f>
        <v>#REF!</v>
      </c>
      <c r="H49" s="81" t="e">
        <f>#REF!</f>
        <v>#REF!</v>
      </c>
      <c r="I49" s="81" t="e">
        <f>#REF!+#REF!+#REF!+#REF!</f>
        <v>#REF!</v>
      </c>
      <c r="J49" s="82" t="e">
        <f t="shared" si="4"/>
        <v>#REF!</v>
      </c>
      <c r="K49" s="81" t="e">
        <f t="shared" si="5"/>
        <v>#REF!</v>
      </c>
      <c r="L49" s="82"/>
      <c r="M49" s="83" t="e">
        <f>#REF!+#REF!+#REF!+#REF!</f>
        <v>#REF!</v>
      </c>
      <c r="N49" s="82"/>
      <c r="O49" s="83" t="e">
        <f>#REF!+#REF!+#REF!+#REF!</f>
        <v>#REF!</v>
      </c>
      <c r="P49" s="82"/>
      <c r="Q49" s="83" t="e">
        <f>#REF!+#REF!+#REF!+#REF!</f>
        <v>#REF!</v>
      </c>
      <c r="R49" s="82"/>
      <c r="S49" s="83" t="e">
        <f>#REF!+#REF!+#REF!+#REF!</f>
        <v>#REF!</v>
      </c>
    </row>
    <row r="50" ht="20.25" spans="1:24">
      <c r="A50" s="81" t="s">
        <v>59</v>
      </c>
      <c r="B50" s="81" t="e">
        <f>#REF!</f>
        <v>#REF!</v>
      </c>
      <c r="C50" s="81" t="e">
        <f>#REF!+#REF!+#REF!+#REF!</f>
        <v>#REF!</v>
      </c>
      <c r="D50" s="81" t="e">
        <f>#REF!</f>
        <v>#REF!</v>
      </c>
      <c r="E50" s="81" t="e">
        <f>#REF!+#REF!+#REF!+#REF!</f>
        <v>#REF!</v>
      </c>
      <c r="F50" s="81" t="e">
        <f>#REF!</f>
        <v>#REF!</v>
      </c>
      <c r="G50" s="81" t="e">
        <f>#REF!+#REF!+#REF!+#REF!</f>
        <v>#REF!</v>
      </c>
      <c r="H50" s="81" t="e">
        <f>#REF!</f>
        <v>#REF!</v>
      </c>
      <c r="I50" s="81" t="e">
        <f>#REF!+#REF!+#REF!+#REF!</f>
        <v>#REF!</v>
      </c>
      <c r="J50" s="82" t="e">
        <f t="shared" si="4"/>
        <v>#REF!</v>
      </c>
      <c r="K50" s="81" t="e">
        <f t="shared" si="5"/>
        <v>#REF!</v>
      </c>
      <c r="L50" s="82"/>
      <c r="M50" s="83" t="e">
        <f>#REF!+#REF!+#REF!+#REF!</f>
        <v>#REF!</v>
      </c>
      <c r="N50" s="82"/>
      <c r="O50" s="83" t="e">
        <f>#REF!+#REF!+#REF!+#REF!</f>
        <v>#REF!</v>
      </c>
      <c r="P50" s="82"/>
      <c r="Q50" s="83" t="e">
        <f>#REF!+#REF!+#REF!+#REF!</f>
        <v>#REF!</v>
      </c>
      <c r="R50" s="82"/>
      <c r="S50" s="83" t="e">
        <f>#REF!+#REF!+#REF!+#REF!</f>
        <v>#REF!</v>
      </c>
    </row>
    <row r="51" ht="20.25" spans="1:24">
      <c r="A51" s="81" t="s">
        <v>60</v>
      </c>
      <c r="B51" s="81" t="e">
        <f>#REF!</f>
        <v>#REF!</v>
      </c>
      <c r="C51" s="81" t="e">
        <f>#REF!+#REF!+#REF!+#REF!</f>
        <v>#REF!</v>
      </c>
      <c r="D51" s="81" t="e">
        <f>#REF!</f>
        <v>#REF!</v>
      </c>
      <c r="E51" s="81" t="e">
        <f>#REF!+#REF!+#REF!+#REF!</f>
        <v>#REF!</v>
      </c>
      <c r="F51" s="81" t="e">
        <f>#REF!</f>
        <v>#REF!</v>
      </c>
      <c r="G51" s="81" t="e">
        <f>#REF!+#REF!+#REF!+#REF!</f>
        <v>#REF!</v>
      </c>
      <c r="H51" s="81" t="e">
        <f>#REF!</f>
        <v>#REF!</v>
      </c>
      <c r="I51" s="81" t="e">
        <f>#REF!+#REF!+#REF!+#REF!</f>
        <v>#REF!</v>
      </c>
      <c r="J51" s="82" t="e">
        <f t="shared" si="4"/>
        <v>#REF!</v>
      </c>
      <c r="K51" s="81" t="e">
        <f t="shared" si="5"/>
        <v>#REF!</v>
      </c>
      <c r="L51" s="82"/>
      <c r="M51" s="83" t="e">
        <f>#REF!+#REF!+#REF!+#REF!</f>
        <v>#REF!</v>
      </c>
      <c r="N51" s="82"/>
      <c r="O51" s="83" t="e">
        <f>#REF!+#REF!+#REF!+#REF!</f>
        <v>#REF!</v>
      </c>
      <c r="P51" s="82"/>
      <c r="Q51" s="83" t="e">
        <f>#REF!+#REF!+#REF!+#REF!</f>
        <v>#REF!</v>
      </c>
      <c r="R51" s="82"/>
      <c r="S51" s="83" t="e">
        <f>#REF!+#REF!+#REF!+#REF!</f>
        <v>#REF!</v>
      </c>
    </row>
    <row r="52" ht="20.25" spans="1:24">
      <c r="A52" s="81" t="s">
        <v>61</v>
      </c>
      <c r="B52" s="81" t="e">
        <f>#REF!</f>
        <v>#REF!</v>
      </c>
      <c r="C52" s="81" t="e">
        <f>#REF!+#REF!+#REF!+#REF!</f>
        <v>#REF!</v>
      </c>
      <c r="D52" s="81" t="e">
        <f>#REF!</f>
        <v>#REF!</v>
      </c>
      <c r="E52" s="81" t="e">
        <f>#REF!+#REF!+#REF!+#REF!</f>
        <v>#REF!</v>
      </c>
      <c r="F52" s="81" t="e">
        <f>#REF!</f>
        <v>#REF!</v>
      </c>
      <c r="G52" s="81" t="e">
        <f>#REF!+#REF!+#REF!+#REF!</f>
        <v>#REF!</v>
      </c>
      <c r="H52" s="81" t="e">
        <f>#REF!</f>
        <v>#REF!</v>
      </c>
      <c r="I52" s="81" t="e">
        <f>#REF!+#REF!+#REF!+#REF!</f>
        <v>#REF!</v>
      </c>
      <c r="J52" s="82" t="e">
        <f t="shared" si="4"/>
        <v>#REF!</v>
      </c>
      <c r="K52" s="81" t="e">
        <f t="shared" si="5"/>
        <v>#REF!</v>
      </c>
      <c r="L52" s="82"/>
      <c r="M52" s="83" t="e">
        <f>#REF!+#REF!+#REF!+#REF!</f>
        <v>#REF!</v>
      </c>
      <c r="N52" s="82"/>
      <c r="O52" s="83" t="e">
        <f>#REF!+#REF!+#REF!+#REF!</f>
        <v>#REF!</v>
      </c>
      <c r="P52" s="82"/>
      <c r="Q52" s="83" t="e">
        <f>#REF!+#REF!+#REF!+#REF!</f>
        <v>#REF!</v>
      </c>
      <c r="R52" s="82"/>
      <c r="S52" s="83" t="e">
        <f>#REF!+#REF!+#REF!+#REF!</f>
        <v>#REF!</v>
      </c>
    </row>
    <row r="53" ht="20.25" spans="1:24">
      <c r="A53" s="81" t="s">
        <v>62</v>
      </c>
      <c r="B53" s="81" t="e">
        <f>#REF!</f>
        <v>#REF!</v>
      </c>
      <c r="C53" s="81" t="e">
        <f>#REF!+#REF!+#REF!+#REF!</f>
        <v>#REF!</v>
      </c>
      <c r="D53" s="81" t="e">
        <f>#REF!</f>
        <v>#REF!</v>
      </c>
      <c r="E53" s="81" t="e">
        <f>#REF!+#REF!+#REF!+#REF!</f>
        <v>#REF!</v>
      </c>
      <c r="F53" s="81" t="e">
        <f>#REF!</f>
        <v>#REF!</v>
      </c>
      <c r="G53" s="81" t="e">
        <f>#REF!+#REF!+#REF!+#REF!</f>
        <v>#REF!</v>
      </c>
      <c r="H53" s="81" t="e">
        <f>#REF!</f>
        <v>#REF!</v>
      </c>
      <c r="I53" s="81" t="e">
        <f>#REF!+#REF!+#REF!+#REF!</f>
        <v>#REF!</v>
      </c>
      <c r="J53" s="82" t="e">
        <f t="shared" si="4"/>
        <v>#REF!</v>
      </c>
      <c r="K53" s="81" t="e">
        <f t="shared" si="5"/>
        <v>#REF!</v>
      </c>
      <c r="L53" s="82"/>
      <c r="M53" s="83" t="e">
        <f>#REF!+#REF!+#REF!+#REF!</f>
        <v>#REF!</v>
      </c>
      <c r="N53" s="82"/>
      <c r="O53" s="83" t="e">
        <f>#REF!+#REF!+#REF!+#REF!</f>
        <v>#REF!</v>
      </c>
      <c r="P53" s="82"/>
      <c r="Q53" s="83" t="e">
        <f>#REF!+#REF!+#REF!+#REF!</f>
        <v>#REF!</v>
      </c>
      <c r="R53" s="82"/>
      <c r="S53" s="83" t="e">
        <f>#REF!+#REF!+#REF!+#REF!</f>
        <v>#REF!</v>
      </c>
    </row>
    <row r="54" ht="20.25" spans="1:24">
      <c r="A54" s="81" t="s">
        <v>63</v>
      </c>
      <c r="B54" s="81" t="e">
        <f>#REF!</f>
        <v>#REF!</v>
      </c>
      <c r="C54" s="81" t="e">
        <f>#REF!+#REF!+#REF!+#REF!</f>
        <v>#REF!</v>
      </c>
      <c r="D54" s="81" t="e">
        <f>#REF!</f>
        <v>#REF!</v>
      </c>
      <c r="E54" s="81" t="e">
        <f>#REF!+#REF!+#REF!+#REF!</f>
        <v>#REF!</v>
      </c>
      <c r="F54" s="81" t="e">
        <f>#REF!</f>
        <v>#REF!</v>
      </c>
      <c r="G54" s="81" t="e">
        <f>#REF!+#REF!+#REF!+#REF!</f>
        <v>#REF!</v>
      </c>
      <c r="H54" s="81" t="e">
        <f>#REF!</f>
        <v>#REF!</v>
      </c>
      <c r="I54" s="81" t="e">
        <f>#REF!+#REF!+#REF!+#REF!</f>
        <v>#REF!</v>
      </c>
      <c r="J54" s="82" t="e">
        <f t="shared" si="4"/>
        <v>#REF!</v>
      </c>
      <c r="K54" s="81" t="e">
        <f t="shared" si="5"/>
        <v>#REF!</v>
      </c>
      <c r="L54" s="82"/>
      <c r="M54" s="83" t="e">
        <f>#REF!+#REF!+#REF!+#REF!</f>
        <v>#REF!</v>
      </c>
      <c r="N54" s="82"/>
      <c r="O54" s="83" t="e">
        <f>#REF!+#REF!+#REF!+#REF!</f>
        <v>#REF!</v>
      </c>
      <c r="P54" s="82"/>
      <c r="Q54" s="83" t="e">
        <f>#REF!+#REF!+#REF!+#REF!</f>
        <v>#REF!</v>
      </c>
      <c r="R54" s="82"/>
      <c r="S54" s="83" t="e">
        <f>#REF!+#REF!+#REF!+#REF!</f>
        <v>#REF!</v>
      </c>
    </row>
    <row r="55" ht="20.25" spans="1:24">
      <c r="A55" s="81" t="s">
        <v>64</v>
      </c>
      <c r="B55" s="81" t="e">
        <f>#REF!</f>
        <v>#REF!</v>
      </c>
      <c r="C55" s="81" t="e">
        <f>#REF!+#REF!+#REF!+#REF!</f>
        <v>#REF!</v>
      </c>
      <c r="D55" s="81" t="e">
        <f>#REF!</f>
        <v>#REF!</v>
      </c>
      <c r="E55" s="81" t="e">
        <f>#REF!+#REF!+#REF!+#REF!</f>
        <v>#REF!</v>
      </c>
      <c r="F55" s="81" t="e">
        <f>#REF!</f>
        <v>#REF!</v>
      </c>
      <c r="G55" s="81" t="e">
        <f>#REF!+#REF!+#REF!+#REF!</f>
        <v>#REF!</v>
      </c>
      <c r="H55" s="81" t="e">
        <f>#REF!</f>
        <v>#REF!</v>
      </c>
      <c r="I55" s="81" t="e">
        <f>#REF!+#REF!+#REF!+#REF!</f>
        <v>#REF!</v>
      </c>
      <c r="J55" s="82" t="e">
        <f t="shared" si="4"/>
        <v>#REF!</v>
      </c>
      <c r="K55" s="81" t="e">
        <f t="shared" si="5"/>
        <v>#REF!</v>
      </c>
      <c r="L55" s="82"/>
      <c r="M55" s="83" t="e">
        <f>#REF!+#REF!+#REF!+#REF!</f>
        <v>#REF!</v>
      </c>
      <c r="N55" s="82"/>
      <c r="O55" s="83" t="e">
        <f>#REF!+#REF!+#REF!+#REF!</f>
        <v>#REF!</v>
      </c>
      <c r="P55" s="82"/>
      <c r="Q55" s="83" t="e">
        <f>#REF!+#REF!+#REF!+#REF!</f>
        <v>#REF!</v>
      </c>
      <c r="R55" s="82"/>
      <c r="S55" s="83" t="e">
        <f>#REF!+#REF!+#REF!+#REF!</f>
        <v>#REF!</v>
      </c>
    </row>
    <row r="56" ht="20.25" spans="1:24">
      <c r="A56" s="81" t="s">
        <v>65</v>
      </c>
      <c r="B56" s="81" t="e">
        <f>#REF!</f>
        <v>#REF!</v>
      </c>
      <c r="C56" s="81" t="e">
        <f>#REF!+#REF!+#REF!+#REF!</f>
        <v>#REF!</v>
      </c>
      <c r="D56" s="81" t="e">
        <f>#REF!</f>
        <v>#REF!</v>
      </c>
      <c r="E56" s="81" t="e">
        <f>#REF!+#REF!+#REF!+#REF!</f>
        <v>#REF!</v>
      </c>
      <c r="F56" s="81" t="e">
        <f>#REF!</f>
        <v>#REF!</v>
      </c>
      <c r="G56" s="81" t="e">
        <f>#REF!+#REF!+#REF!+#REF!</f>
        <v>#REF!</v>
      </c>
      <c r="H56" s="81" t="e">
        <f>#REF!</f>
        <v>#REF!</v>
      </c>
      <c r="I56" s="81" t="e">
        <f>#REF!+#REF!+#REF!+#REF!</f>
        <v>#REF!</v>
      </c>
      <c r="J56" s="82" t="e">
        <f t="shared" si="4"/>
        <v>#REF!</v>
      </c>
      <c r="K56" s="81" t="e">
        <f t="shared" si="5"/>
        <v>#REF!</v>
      </c>
      <c r="L56" s="82"/>
      <c r="M56" s="83" t="e">
        <f>#REF!+#REF!+#REF!+#REF!</f>
        <v>#REF!</v>
      </c>
      <c r="N56" s="82"/>
      <c r="O56" s="83" t="e">
        <f>#REF!+#REF!+#REF!+#REF!</f>
        <v>#REF!</v>
      </c>
      <c r="P56" s="82"/>
      <c r="Q56" s="83" t="e">
        <f>#REF!+#REF!+#REF!+#REF!</f>
        <v>#REF!</v>
      </c>
      <c r="R56" s="82"/>
      <c r="S56" s="83" t="e">
        <f>#REF!+#REF!+#REF!+#REF!</f>
        <v>#REF!</v>
      </c>
    </row>
    <row r="58" ht="20.25" spans="1:24">
      <c r="A58" s="81" t="s">
        <v>66</v>
      </c>
      <c r="B58" s="81" t="s">
        <v>71</v>
      </c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</row>
    <row r="59" ht="20.25" spans="1:24">
      <c r="A59" s="81" t="s">
        <v>37</v>
      </c>
      <c r="B59" s="81" t="s">
        <v>38</v>
      </c>
      <c r="C59" s="81"/>
      <c r="D59" s="78" t="s">
        <v>39</v>
      </c>
      <c r="E59" s="80"/>
      <c r="F59" s="81" t="s">
        <v>40</v>
      </c>
      <c r="G59" s="81"/>
      <c r="H59" s="81" t="s">
        <v>41</v>
      </c>
      <c r="I59" s="81"/>
      <c r="J59" s="81" t="s">
        <v>42</v>
      </c>
      <c r="K59" s="81"/>
      <c r="L59" s="81" t="s">
        <v>43</v>
      </c>
      <c r="M59" s="81"/>
      <c r="N59" s="81" t="s">
        <v>44</v>
      </c>
      <c r="O59" s="81"/>
      <c r="P59" s="81" t="s">
        <v>45</v>
      </c>
      <c r="Q59" s="81"/>
      <c r="R59" s="81" t="s">
        <v>46</v>
      </c>
      <c r="S59" s="81"/>
    </row>
    <row r="60" ht="20.25" spans="1:24">
      <c r="A60" s="81" t="s">
        <v>27</v>
      </c>
      <c r="B60" s="81" t="s">
        <v>47</v>
      </c>
      <c r="C60" s="81" t="s">
        <v>48</v>
      </c>
      <c r="D60" s="81" t="s">
        <v>47</v>
      </c>
      <c r="E60" s="81" t="s">
        <v>48</v>
      </c>
      <c r="F60" s="81" t="s">
        <v>47</v>
      </c>
      <c r="G60" s="81" t="s">
        <v>48</v>
      </c>
      <c r="H60" s="81" t="s">
        <v>47</v>
      </c>
      <c r="I60" s="81" t="s">
        <v>48</v>
      </c>
      <c r="J60" s="81" t="s">
        <v>49</v>
      </c>
      <c r="K60" s="81" t="s">
        <v>48</v>
      </c>
      <c r="L60" s="81" t="s">
        <v>47</v>
      </c>
      <c r="M60" s="81" t="s">
        <v>48</v>
      </c>
      <c r="N60" s="81" t="s">
        <v>47</v>
      </c>
      <c r="O60" s="81" t="s">
        <v>48</v>
      </c>
      <c r="P60" s="81" t="s">
        <v>47</v>
      </c>
      <c r="Q60" s="81" t="s">
        <v>48</v>
      </c>
      <c r="R60" s="81" t="s">
        <v>47</v>
      </c>
      <c r="S60" s="81" t="s">
        <v>48</v>
      </c>
      <c r="X60" s="84" t="s">
        <v>72</v>
      </c>
    </row>
    <row r="61" ht="20.25" spans="1:24">
      <c r="A61" s="81" t="s">
        <v>50</v>
      </c>
      <c r="B61" s="81" t="e">
        <f>#REF!</f>
        <v>#REF!</v>
      </c>
      <c r="C61" s="81" t="e">
        <f>#REF!+#REF!+#REF!+#REF!</f>
        <v>#REF!</v>
      </c>
      <c r="D61" s="81" t="e">
        <f>#REF!</f>
        <v>#REF!</v>
      </c>
      <c r="E61" s="81" t="e">
        <f>#REF!+#REF!+#REF!+#REF!</f>
        <v>#REF!</v>
      </c>
      <c r="F61" s="81" t="e">
        <f>#REF!</f>
        <v>#REF!</v>
      </c>
      <c r="G61" s="81" t="e">
        <f>#REF!+#REF!+#REF!+#REF!</f>
        <v>#REF!</v>
      </c>
      <c r="H61" s="81" t="e">
        <f>#REF!</f>
        <v>#REF!</v>
      </c>
      <c r="I61" s="81" t="e">
        <f>#REF!+#REF!+#REF!+#REF!</f>
        <v>#REF!</v>
      </c>
      <c r="J61" s="82" t="e">
        <f>K61/SUM($K$61:$K$75)</f>
        <v>#REF!</v>
      </c>
      <c r="K61" s="81" t="e">
        <f>C61+E61+G61+I61</f>
        <v>#REF!</v>
      </c>
      <c r="L61" s="82"/>
      <c r="M61" s="83" t="e">
        <f>#REF!+#REF!+#REF!+#REF!</f>
        <v>#REF!</v>
      </c>
      <c r="N61" s="82"/>
      <c r="O61" s="83" t="e">
        <f>#REF!+#REF!+#REF!+#REF!</f>
        <v>#REF!</v>
      </c>
      <c r="P61" s="82"/>
      <c r="Q61" s="83" t="e">
        <f>#REF!+#REF!+#REF!+#REF!</f>
        <v>#REF!</v>
      </c>
      <c r="R61" s="82"/>
      <c r="S61" s="83" t="e">
        <f>#REF!+#REF!+#REF!+#REF!</f>
        <v>#REF!</v>
      </c>
    </row>
    <row r="62" ht="20.25" spans="1:24">
      <c r="A62" s="81" t="s">
        <v>52</v>
      </c>
      <c r="B62" s="81" t="e">
        <f>#REF!</f>
        <v>#REF!</v>
      </c>
      <c r="C62" s="81" t="e">
        <f>#REF!+#REF!+#REF!+#REF!</f>
        <v>#REF!</v>
      </c>
      <c r="D62" s="81" t="e">
        <f>#REF!</f>
        <v>#REF!</v>
      </c>
      <c r="E62" s="81" t="e">
        <f>#REF!+#REF!+#REF!+#REF!</f>
        <v>#REF!</v>
      </c>
      <c r="F62" s="81" t="e">
        <f>#REF!</f>
        <v>#REF!</v>
      </c>
      <c r="G62" s="81" t="e">
        <f>#REF!+#REF!+#REF!+#REF!</f>
        <v>#REF!</v>
      </c>
      <c r="H62" s="81" t="e">
        <f>#REF!</f>
        <v>#REF!</v>
      </c>
      <c r="I62" s="81" t="e">
        <f>#REF!+#REF!+#REF!+#REF!</f>
        <v>#REF!</v>
      </c>
      <c r="J62" s="82" t="e">
        <f t="shared" ref="J62:J75" si="6">K62/SUM($K$61:$K$75)</f>
        <v>#REF!</v>
      </c>
      <c r="K62" s="81" t="e">
        <f t="shared" ref="K62:K75" si="7">C62+E62+G62+I62</f>
        <v>#REF!</v>
      </c>
      <c r="L62" s="82"/>
      <c r="M62" s="83" t="e">
        <f>#REF!+#REF!+#REF!+#REF!</f>
        <v>#REF!</v>
      </c>
      <c r="N62" s="82"/>
      <c r="O62" s="83" t="e">
        <f>#REF!+#REF!+#REF!+#REF!</f>
        <v>#REF!</v>
      </c>
      <c r="P62" s="82"/>
      <c r="Q62" s="83" t="e">
        <f>#REF!+#REF!+#REF!+#REF!</f>
        <v>#REF!</v>
      </c>
      <c r="R62" s="82"/>
      <c r="S62" s="83" t="e">
        <f>#REF!+#REF!+#REF!+#REF!</f>
        <v>#REF!</v>
      </c>
    </row>
    <row r="63" ht="20.25" spans="1:24">
      <c r="A63" s="81" t="s">
        <v>53</v>
      </c>
      <c r="B63" s="81" t="e">
        <f>#REF!</f>
        <v>#REF!</v>
      </c>
      <c r="C63" s="81" t="e">
        <f>#REF!+#REF!+#REF!+#REF!</f>
        <v>#REF!</v>
      </c>
      <c r="D63" s="81" t="e">
        <f>#REF!</f>
        <v>#REF!</v>
      </c>
      <c r="E63" s="81" t="e">
        <f>#REF!+#REF!+#REF!+#REF!</f>
        <v>#REF!</v>
      </c>
      <c r="F63" s="81" t="e">
        <f>#REF!</f>
        <v>#REF!</v>
      </c>
      <c r="G63" s="81" t="e">
        <f>#REF!+#REF!+#REF!+#REF!</f>
        <v>#REF!</v>
      </c>
      <c r="H63" s="81" t="e">
        <f>#REF!</f>
        <v>#REF!</v>
      </c>
      <c r="I63" s="81" t="e">
        <f>#REF!+#REF!+#REF!+#REF!</f>
        <v>#REF!</v>
      </c>
      <c r="J63" s="82" t="e">
        <f t="shared" si="6"/>
        <v>#REF!</v>
      </c>
      <c r="K63" s="81" t="e">
        <f t="shared" si="7"/>
        <v>#REF!</v>
      </c>
      <c r="L63" s="82"/>
      <c r="M63" s="83" t="e">
        <f>#REF!+#REF!+#REF!+#REF!</f>
        <v>#REF!</v>
      </c>
      <c r="N63" s="82"/>
      <c r="O63" s="83" t="e">
        <f>#REF!+#REF!+#REF!+#REF!</f>
        <v>#REF!</v>
      </c>
      <c r="P63" s="82"/>
      <c r="Q63" s="83" t="e">
        <f>#REF!+#REF!+#REF!+#REF!</f>
        <v>#REF!</v>
      </c>
      <c r="R63" s="82"/>
      <c r="S63" s="83" t="e">
        <f>#REF!+#REF!+#REF!+#REF!</f>
        <v>#REF!</v>
      </c>
    </row>
    <row r="64" ht="20.25" spans="1:24">
      <c r="A64" s="81" t="s">
        <v>54</v>
      </c>
      <c r="B64" s="81" t="e">
        <f>#REF!</f>
        <v>#REF!</v>
      </c>
      <c r="C64" s="81" t="e">
        <f>#REF!+#REF!+#REF!+#REF!</f>
        <v>#REF!</v>
      </c>
      <c r="D64" s="81" t="e">
        <f>#REF!</f>
        <v>#REF!</v>
      </c>
      <c r="E64" s="81" t="e">
        <f>#REF!+#REF!+#REF!+#REF!</f>
        <v>#REF!</v>
      </c>
      <c r="F64" s="81" t="e">
        <f>#REF!</f>
        <v>#REF!</v>
      </c>
      <c r="G64" s="81" t="e">
        <f>#REF!+#REF!+#REF!+#REF!</f>
        <v>#REF!</v>
      </c>
      <c r="H64" s="81" t="e">
        <f>#REF!</f>
        <v>#REF!</v>
      </c>
      <c r="I64" s="81" t="e">
        <f>#REF!+#REF!+#REF!+#REF!</f>
        <v>#REF!</v>
      </c>
      <c r="J64" s="82" t="e">
        <f t="shared" si="6"/>
        <v>#REF!</v>
      </c>
      <c r="K64" s="81" t="e">
        <f t="shared" si="7"/>
        <v>#REF!</v>
      </c>
      <c r="L64" s="82"/>
      <c r="M64" s="83" t="e">
        <f>#REF!+#REF!+#REF!+#REF!</f>
        <v>#REF!</v>
      </c>
      <c r="N64" s="82"/>
      <c r="O64" s="83" t="e">
        <f>#REF!+#REF!+#REF!+#REF!</f>
        <v>#REF!</v>
      </c>
      <c r="P64" s="82"/>
      <c r="Q64" s="83" t="e">
        <f>#REF!+#REF!+#REF!+#REF!</f>
        <v>#REF!</v>
      </c>
      <c r="R64" s="82"/>
      <c r="S64" s="83" t="e">
        <f>#REF!+#REF!+#REF!+#REF!</f>
        <v>#REF!</v>
      </c>
    </row>
    <row r="65" ht="20.25" spans="1:24">
      <c r="A65" s="81" t="s">
        <v>55</v>
      </c>
      <c r="B65" s="81" t="e">
        <f>#REF!</f>
        <v>#REF!</v>
      </c>
      <c r="C65" s="81" t="e">
        <f>#REF!+#REF!+#REF!+#REF!</f>
        <v>#REF!</v>
      </c>
      <c r="D65" s="81" t="e">
        <f>#REF!</f>
        <v>#REF!</v>
      </c>
      <c r="E65" s="81" t="e">
        <f>#REF!+#REF!+#REF!+#REF!</f>
        <v>#REF!</v>
      </c>
      <c r="F65" s="81" t="e">
        <f>#REF!</f>
        <v>#REF!</v>
      </c>
      <c r="G65" s="81" t="e">
        <f>#REF!+#REF!+#REF!+#REF!</f>
        <v>#REF!</v>
      </c>
      <c r="H65" s="81" t="e">
        <f>#REF!</f>
        <v>#REF!</v>
      </c>
      <c r="I65" s="81" t="e">
        <f>#REF!+#REF!+#REF!+#REF!</f>
        <v>#REF!</v>
      </c>
      <c r="J65" s="82" t="e">
        <f t="shared" si="6"/>
        <v>#REF!</v>
      </c>
      <c r="K65" s="81" t="e">
        <f t="shared" si="7"/>
        <v>#REF!</v>
      </c>
      <c r="L65" s="82"/>
      <c r="M65" s="83" t="e">
        <f>#REF!+#REF!+#REF!+#REF!</f>
        <v>#REF!</v>
      </c>
      <c r="N65" s="82"/>
      <c r="O65" s="83" t="e">
        <f>#REF!+#REF!+#REF!+#REF!</f>
        <v>#REF!</v>
      </c>
      <c r="P65" s="82"/>
      <c r="Q65" s="83" t="e">
        <f>#REF!+#REF!+#REF!+#REF!</f>
        <v>#REF!</v>
      </c>
      <c r="R65" s="82"/>
      <c r="S65" s="83" t="e">
        <f>#REF!+#REF!+#REF!+#REF!</f>
        <v>#REF!</v>
      </c>
    </row>
    <row r="66" ht="20.25" spans="1:24">
      <c r="A66" s="81" t="s">
        <v>56</v>
      </c>
      <c r="B66" s="81" t="e">
        <f>#REF!</f>
        <v>#REF!</v>
      </c>
      <c r="C66" s="81" t="e">
        <f>#REF!+#REF!+#REF!+#REF!</f>
        <v>#REF!</v>
      </c>
      <c r="D66" s="81" t="e">
        <f>#REF!</f>
        <v>#REF!</v>
      </c>
      <c r="E66" s="81" t="e">
        <f>#REF!+#REF!+#REF!+#REF!</f>
        <v>#REF!</v>
      </c>
      <c r="F66" s="81" t="e">
        <f>#REF!</f>
        <v>#REF!</v>
      </c>
      <c r="G66" s="81" t="e">
        <f>#REF!+#REF!+#REF!+#REF!</f>
        <v>#REF!</v>
      </c>
      <c r="H66" s="81" t="e">
        <f>#REF!</f>
        <v>#REF!</v>
      </c>
      <c r="I66" s="81" t="e">
        <f>#REF!+#REF!+#REF!+#REF!</f>
        <v>#REF!</v>
      </c>
      <c r="J66" s="82" t="e">
        <f t="shared" si="6"/>
        <v>#REF!</v>
      </c>
      <c r="K66" s="81" t="e">
        <f t="shared" si="7"/>
        <v>#REF!</v>
      </c>
      <c r="L66" s="82"/>
      <c r="M66" s="83" t="e">
        <f>#REF!+#REF!+#REF!+#REF!</f>
        <v>#REF!</v>
      </c>
      <c r="N66" s="82"/>
      <c r="O66" s="83" t="e">
        <f>#REF!+#REF!+#REF!+#REF!</f>
        <v>#REF!</v>
      </c>
      <c r="P66" s="82"/>
      <c r="Q66" s="83" t="e">
        <f>#REF!+#REF!+#REF!+#REF!</f>
        <v>#REF!</v>
      </c>
      <c r="R66" s="82"/>
      <c r="S66" s="83" t="e">
        <f>#REF!+#REF!+#REF!+#REF!</f>
        <v>#REF!</v>
      </c>
    </row>
    <row r="67" ht="20.25" spans="1:24">
      <c r="A67" s="81" t="s">
        <v>57</v>
      </c>
      <c r="B67" s="81" t="e">
        <f>#REF!</f>
        <v>#REF!</v>
      </c>
      <c r="C67" s="81" t="e">
        <f>#REF!+#REF!+#REF!+#REF!</f>
        <v>#REF!</v>
      </c>
      <c r="D67" s="81" t="e">
        <f>#REF!</f>
        <v>#REF!</v>
      </c>
      <c r="E67" s="81" t="e">
        <f>#REF!+#REF!+#REF!+#REF!</f>
        <v>#REF!</v>
      </c>
      <c r="F67" s="81" t="e">
        <f>#REF!</f>
        <v>#REF!</v>
      </c>
      <c r="G67" s="81" t="e">
        <f>#REF!+#REF!+#REF!+#REF!</f>
        <v>#REF!</v>
      </c>
      <c r="H67" s="81" t="e">
        <f>#REF!</f>
        <v>#REF!</v>
      </c>
      <c r="I67" s="81" t="e">
        <f>#REF!+#REF!+#REF!+#REF!</f>
        <v>#REF!</v>
      </c>
      <c r="J67" s="82" t="e">
        <f t="shared" si="6"/>
        <v>#REF!</v>
      </c>
      <c r="K67" s="81" t="e">
        <f t="shared" si="7"/>
        <v>#REF!</v>
      </c>
      <c r="L67" s="82"/>
      <c r="M67" s="83" t="e">
        <f>#REF!+#REF!+#REF!+#REF!</f>
        <v>#REF!</v>
      </c>
      <c r="N67" s="82"/>
      <c r="O67" s="83" t="e">
        <f>#REF!+#REF!+#REF!+#REF!</f>
        <v>#REF!</v>
      </c>
      <c r="P67" s="82"/>
      <c r="Q67" s="83" t="e">
        <f>#REF!+#REF!+#REF!+#REF!</f>
        <v>#REF!</v>
      </c>
      <c r="R67" s="82"/>
      <c r="S67" s="83" t="e">
        <f>#REF!+#REF!+#REF!+#REF!</f>
        <v>#REF!</v>
      </c>
    </row>
    <row r="68" ht="20.25" spans="1:24">
      <c r="A68" s="81" t="s">
        <v>58</v>
      </c>
      <c r="B68" s="81" t="e">
        <f>#REF!</f>
        <v>#REF!</v>
      </c>
      <c r="C68" s="81" t="e">
        <f>#REF!+#REF!+#REF!+#REF!</f>
        <v>#REF!</v>
      </c>
      <c r="D68" s="81" t="e">
        <f>#REF!</f>
        <v>#REF!</v>
      </c>
      <c r="E68" s="81" t="e">
        <f>#REF!+#REF!+#REF!+#REF!</f>
        <v>#REF!</v>
      </c>
      <c r="F68" s="81" t="e">
        <f>#REF!</f>
        <v>#REF!</v>
      </c>
      <c r="G68" s="81" t="e">
        <f>#REF!+#REF!+#REF!+#REF!</f>
        <v>#REF!</v>
      </c>
      <c r="H68" s="81" t="e">
        <f>#REF!</f>
        <v>#REF!</v>
      </c>
      <c r="I68" s="81" t="e">
        <f>#REF!+#REF!+#REF!+#REF!</f>
        <v>#REF!</v>
      </c>
      <c r="J68" s="82" t="e">
        <f t="shared" si="6"/>
        <v>#REF!</v>
      </c>
      <c r="K68" s="81" t="e">
        <f t="shared" si="7"/>
        <v>#REF!</v>
      </c>
      <c r="L68" s="82"/>
      <c r="M68" s="83" t="e">
        <f>#REF!+#REF!+#REF!+#REF!</f>
        <v>#REF!</v>
      </c>
      <c r="N68" s="82"/>
      <c r="O68" s="83" t="e">
        <f>#REF!+#REF!+#REF!+#REF!</f>
        <v>#REF!</v>
      </c>
      <c r="P68" s="82"/>
      <c r="Q68" s="83" t="e">
        <f>#REF!+#REF!+#REF!+#REF!</f>
        <v>#REF!</v>
      </c>
      <c r="R68" s="82"/>
      <c r="S68" s="83" t="e">
        <f>#REF!+#REF!+#REF!+#REF!</f>
        <v>#REF!</v>
      </c>
    </row>
    <row r="69" ht="20.25" spans="1:24">
      <c r="A69" s="81" t="s">
        <v>59</v>
      </c>
      <c r="B69" s="81" t="e">
        <f>#REF!</f>
        <v>#REF!</v>
      </c>
      <c r="C69" s="81" t="e">
        <f>#REF!+#REF!+#REF!+#REF!</f>
        <v>#REF!</v>
      </c>
      <c r="D69" s="81" t="e">
        <f>#REF!</f>
        <v>#REF!</v>
      </c>
      <c r="E69" s="81" t="e">
        <f>#REF!+#REF!+#REF!+#REF!</f>
        <v>#REF!</v>
      </c>
      <c r="F69" s="81" t="e">
        <f>#REF!</f>
        <v>#REF!</v>
      </c>
      <c r="G69" s="81" t="e">
        <f>#REF!+#REF!+#REF!+#REF!</f>
        <v>#REF!</v>
      </c>
      <c r="H69" s="81" t="e">
        <f>#REF!</f>
        <v>#REF!</v>
      </c>
      <c r="I69" s="81" t="e">
        <f>#REF!+#REF!+#REF!+#REF!</f>
        <v>#REF!</v>
      </c>
      <c r="J69" s="82" t="e">
        <f t="shared" si="6"/>
        <v>#REF!</v>
      </c>
      <c r="K69" s="81" t="e">
        <f t="shared" si="7"/>
        <v>#REF!</v>
      </c>
      <c r="L69" s="82"/>
      <c r="M69" s="83" t="e">
        <f>#REF!+#REF!+#REF!+#REF!</f>
        <v>#REF!</v>
      </c>
      <c r="N69" s="82"/>
      <c r="O69" s="83" t="e">
        <f>#REF!+#REF!+#REF!+#REF!</f>
        <v>#REF!</v>
      </c>
      <c r="P69" s="82"/>
      <c r="Q69" s="83" t="e">
        <f>#REF!+#REF!+#REF!+#REF!</f>
        <v>#REF!</v>
      </c>
      <c r="R69" s="82"/>
      <c r="S69" s="83" t="e">
        <f>#REF!+#REF!+#REF!+#REF!</f>
        <v>#REF!</v>
      </c>
    </row>
    <row r="70" ht="20.25" spans="1:24">
      <c r="A70" s="81" t="s">
        <v>60</v>
      </c>
      <c r="B70" s="81" t="e">
        <f>#REF!</f>
        <v>#REF!</v>
      </c>
      <c r="C70" s="81" t="e">
        <f>#REF!+#REF!+#REF!+#REF!</f>
        <v>#REF!</v>
      </c>
      <c r="D70" s="81" t="e">
        <f>#REF!</f>
        <v>#REF!</v>
      </c>
      <c r="E70" s="81" t="e">
        <f>#REF!+#REF!+#REF!+#REF!</f>
        <v>#REF!</v>
      </c>
      <c r="F70" s="81" t="e">
        <f>#REF!</f>
        <v>#REF!</v>
      </c>
      <c r="G70" s="81" t="e">
        <f>#REF!+#REF!+#REF!+#REF!</f>
        <v>#REF!</v>
      </c>
      <c r="H70" s="81" t="e">
        <f>#REF!</f>
        <v>#REF!</v>
      </c>
      <c r="I70" s="81" t="e">
        <f>#REF!+#REF!+#REF!+#REF!</f>
        <v>#REF!</v>
      </c>
      <c r="J70" s="82" t="e">
        <f t="shared" si="6"/>
        <v>#REF!</v>
      </c>
      <c r="K70" s="81" t="e">
        <f t="shared" si="7"/>
        <v>#REF!</v>
      </c>
      <c r="L70" s="82"/>
      <c r="M70" s="83" t="e">
        <f>#REF!+#REF!+#REF!+#REF!</f>
        <v>#REF!</v>
      </c>
      <c r="N70" s="82"/>
      <c r="O70" s="83" t="e">
        <f>#REF!+#REF!+#REF!+#REF!</f>
        <v>#REF!</v>
      </c>
      <c r="P70" s="82"/>
      <c r="Q70" s="83" t="e">
        <f>#REF!+#REF!+#REF!+#REF!</f>
        <v>#REF!</v>
      </c>
      <c r="R70" s="82"/>
      <c r="S70" s="83" t="e">
        <f>#REF!+#REF!+#REF!+#REF!</f>
        <v>#REF!</v>
      </c>
    </row>
    <row r="71" ht="20.25" spans="1:24">
      <c r="A71" s="81" t="s">
        <v>61</v>
      </c>
      <c r="B71" s="81" t="e">
        <f>#REF!</f>
        <v>#REF!</v>
      </c>
      <c r="C71" s="81" t="e">
        <f>#REF!+#REF!+#REF!+#REF!</f>
        <v>#REF!</v>
      </c>
      <c r="D71" s="81" t="e">
        <f>#REF!</f>
        <v>#REF!</v>
      </c>
      <c r="E71" s="81" t="e">
        <f>#REF!+#REF!+#REF!+#REF!</f>
        <v>#REF!</v>
      </c>
      <c r="F71" s="81" t="e">
        <f>#REF!</f>
        <v>#REF!</v>
      </c>
      <c r="G71" s="81" t="e">
        <f>#REF!+#REF!+#REF!+#REF!</f>
        <v>#REF!</v>
      </c>
      <c r="H71" s="81" t="e">
        <f>#REF!</f>
        <v>#REF!</v>
      </c>
      <c r="I71" s="81" t="e">
        <f>#REF!+#REF!+#REF!+#REF!</f>
        <v>#REF!</v>
      </c>
      <c r="J71" s="82" t="e">
        <f t="shared" si="6"/>
        <v>#REF!</v>
      </c>
      <c r="K71" s="81" t="e">
        <f t="shared" si="7"/>
        <v>#REF!</v>
      </c>
      <c r="L71" s="82"/>
      <c r="M71" s="83" t="e">
        <f>#REF!+#REF!+#REF!+#REF!</f>
        <v>#REF!</v>
      </c>
      <c r="N71" s="82"/>
      <c r="O71" s="83" t="e">
        <f>#REF!+#REF!+#REF!+#REF!</f>
        <v>#REF!</v>
      </c>
      <c r="P71" s="82"/>
      <c r="Q71" s="83" t="e">
        <f>#REF!+#REF!+#REF!+#REF!</f>
        <v>#REF!</v>
      </c>
      <c r="R71" s="82"/>
      <c r="S71" s="83" t="e">
        <f>#REF!+#REF!+#REF!+#REF!</f>
        <v>#REF!</v>
      </c>
    </row>
    <row r="72" ht="20.25" spans="1:24">
      <c r="A72" s="81" t="s">
        <v>62</v>
      </c>
      <c r="B72" s="81" t="e">
        <f>#REF!</f>
        <v>#REF!</v>
      </c>
      <c r="C72" s="81" t="e">
        <f>#REF!+#REF!+#REF!+#REF!</f>
        <v>#REF!</v>
      </c>
      <c r="D72" s="81" t="e">
        <f>#REF!</f>
        <v>#REF!</v>
      </c>
      <c r="E72" s="81" t="e">
        <f>#REF!+#REF!+#REF!+#REF!</f>
        <v>#REF!</v>
      </c>
      <c r="F72" s="81" t="e">
        <f>#REF!</f>
        <v>#REF!</v>
      </c>
      <c r="G72" s="81" t="e">
        <f>#REF!+#REF!+#REF!+#REF!</f>
        <v>#REF!</v>
      </c>
      <c r="H72" s="81" t="e">
        <f>#REF!</f>
        <v>#REF!</v>
      </c>
      <c r="I72" s="81" t="e">
        <f>#REF!+#REF!+#REF!+#REF!</f>
        <v>#REF!</v>
      </c>
      <c r="J72" s="82" t="e">
        <f t="shared" si="6"/>
        <v>#REF!</v>
      </c>
      <c r="K72" s="81" t="e">
        <f t="shared" si="7"/>
        <v>#REF!</v>
      </c>
      <c r="L72" s="82"/>
      <c r="M72" s="83" t="e">
        <f>#REF!+#REF!+#REF!+#REF!</f>
        <v>#REF!</v>
      </c>
      <c r="N72" s="82"/>
      <c r="O72" s="83" t="e">
        <f>#REF!+#REF!+#REF!+#REF!</f>
        <v>#REF!</v>
      </c>
      <c r="P72" s="82"/>
      <c r="Q72" s="83" t="e">
        <f>#REF!+#REF!+#REF!+#REF!</f>
        <v>#REF!</v>
      </c>
      <c r="R72" s="82"/>
      <c r="S72" s="83" t="e">
        <f>#REF!+#REF!+#REF!+#REF!</f>
        <v>#REF!</v>
      </c>
    </row>
    <row r="73" ht="20.25" spans="1:24">
      <c r="A73" s="81" t="s">
        <v>63</v>
      </c>
      <c r="B73" s="81" t="e">
        <f>#REF!</f>
        <v>#REF!</v>
      </c>
      <c r="C73" s="81" t="e">
        <f>#REF!+#REF!+#REF!+#REF!</f>
        <v>#REF!</v>
      </c>
      <c r="D73" s="81" t="e">
        <f>#REF!</f>
        <v>#REF!</v>
      </c>
      <c r="E73" s="81" t="e">
        <f>#REF!+#REF!+#REF!+#REF!</f>
        <v>#REF!</v>
      </c>
      <c r="F73" s="81" t="e">
        <f>#REF!</f>
        <v>#REF!</v>
      </c>
      <c r="G73" s="81" t="e">
        <f>#REF!+#REF!+#REF!+#REF!</f>
        <v>#REF!</v>
      </c>
      <c r="H73" s="81" t="e">
        <f>#REF!</f>
        <v>#REF!</v>
      </c>
      <c r="I73" s="81" t="e">
        <f>#REF!+#REF!+#REF!+#REF!</f>
        <v>#REF!</v>
      </c>
      <c r="J73" s="82" t="e">
        <f t="shared" si="6"/>
        <v>#REF!</v>
      </c>
      <c r="K73" s="81" t="e">
        <f t="shared" si="7"/>
        <v>#REF!</v>
      </c>
      <c r="L73" s="82"/>
      <c r="M73" s="83" t="e">
        <f>#REF!+#REF!+#REF!+#REF!</f>
        <v>#REF!</v>
      </c>
      <c r="N73" s="82"/>
      <c r="O73" s="83" t="e">
        <f>#REF!+#REF!+#REF!+#REF!</f>
        <v>#REF!</v>
      </c>
      <c r="P73" s="82"/>
      <c r="Q73" s="83" t="e">
        <f>#REF!+#REF!+#REF!+#REF!</f>
        <v>#REF!</v>
      </c>
      <c r="R73" s="82"/>
      <c r="S73" s="83" t="e">
        <f>#REF!+#REF!+#REF!+#REF!</f>
        <v>#REF!</v>
      </c>
    </row>
    <row r="74" ht="20.25" spans="1:24">
      <c r="A74" s="81" t="s">
        <v>64</v>
      </c>
      <c r="B74" s="81" t="e">
        <f>#REF!</f>
        <v>#REF!</v>
      </c>
      <c r="C74" s="81" t="e">
        <f>#REF!+#REF!+#REF!+#REF!</f>
        <v>#REF!</v>
      </c>
      <c r="D74" s="81" t="e">
        <f>#REF!</f>
        <v>#REF!</v>
      </c>
      <c r="E74" s="81" t="e">
        <f>#REF!+#REF!+#REF!+#REF!</f>
        <v>#REF!</v>
      </c>
      <c r="F74" s="81" t="e">
        <f>#REF!</f>
        <v>#REF!</v>
      </c>
      <c r="G74" s="81" t="e">
        <f>#REF!+#REF!+#REF!+#REF!</f>
        <v>#REF!</v>
      </c>
      <c r="H74" s="81" t="e">
        <f>#REF!</f>
        <v>#REF!</v>
      </c>
      <c r="I74" s="81" t="e">
        <f>#REF!+#REF!+#REF!+#REF!</f>
        <v>#REF!</v>
      </c>
      <c r="J74" s="82" t="e">
        <f t="shared" si="6"/>
        <v>#REF!</v>
      </c>
      <c r="K74" s="81" t="e">
        <f t="shared" si="7"/>
        <v>#REF!</v>
      </c>
      <c r="L74" s="82"/>
      <c r="M74" s="83" t="e">
        <f>#REF!+#REF!+#REF!+#REF!</f>
        <v>#REF!</v>
      </c>
      <c r="N74" s="82"/>
      <c r="O74" s="83" t="e">
        <f>#REF!+#REF!+#REF!+#REF!</f>
        <v>#REF!</v>
      </c>
      <c r="P74" s="82"/>
      <c r="Q74" s="83" t="e">
        <f>#REF!+#REF!+#REF!+#REF!</f>
        <v>#REF!</v>
      </c>
      <c r="R74" s="82"/>
      <c r="S74" s="83" t="e">
        <f>#REF!+#REF!+#REF!+#REF!</f>
        <v>#REF!</v>
      </c>
    </row>
    <row r="75" ht="20.25" spans="1:24">
      <c r="A75" s="81" t="s">
        <v>65</v>
      </c>
      <c r="B75" s="81" t="e">
        <f>#REF!</f>
        <v>#REF!</v>
      </c>
      <c r="C75" s="81" t="e">
        <f>#REF!+#REF!+#REF!+#REF!</f>
        <v>#REF!</v>
      </c>
      <c r="D75" s="81" t="e">
        <f>#REF!</f>
        <v>#REF!</v>
      </c>
      <c r="E75" s="81" t="e">
        <f>#REF!+#REF!+#REF!+#REF!</f>
        <v>#REF!</v>
      </c>
      <c r="F75" s="81" t="e">
        <f>#REF!</f>
        <v>#REF!</v>
      </c>
      <c r="G75" s="81" t="e">
        <f>#REF!+#REF!+#REF!+#REF!</f>
        <v>#REF!</v>
      </c>
      <c r="H75" s="81" t="e">
        <f>#REF!</f>
        <v>#REF!</v>
      </c>
      <c r="I75" s="81" t="e">
        <f>#REF!+#REF!+#REF!+#REF!</f>
        <v>#REF!</v>
      </c>
      <c r="J75" s="82" t="e">
        <f t="shared" si="6"/>
        <v>#REF!</v>
      </c>
      <c r="K75" s="81" t="e">
        <f t="shared" si="7"/>
        <v>#REF!</v>
      </c>
      <c r="L75" s="82"/>
      <c r="M75" s="83" t="e">
        <f>#REF!+#REF!+#REF!+#REF!</f>
        <v>#REF!</v>
      </c>
      <c r="N75" s="82"/>
      <c r="O75" s="83" t="e">
        <f>#REF!+#REF!+#REF!+#REF!</f>
        <v>#REF!</v>
      </c>
      <c r="P75" s="82"/>
      <c r="Q75" s="83" t="e">
        <f>#REF!+#REF!+#REF!+#REF!</f>
        <v>#REF!</v>
      </c>
      <c r="R75" s="82"/>
      <c r="S75" s="83" t="e">
        <f>#REF!+#REF!+#REF!+#REF!</f>
        <v>#REF!</v>
      </c>
    </row>
    <row r="77" ht="20.25" spans="1:24">
      <c r="A77" s="81" t="s">
        <v>66</v>
      </c>
      <c r="B77" s="81" t="s">
        <v>73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</row>
    <row r="78" ht="20.25" spans="1:24">
      <c r="A78" s="81" t="s">
        <v>37</v>
      </c>
      <c r="B78" s="81" t="s">
        <v>38</v>
      </c>
      <c r="C78" s="81"/>
      <c r="D78" s="78" t="s">
        <v>39</v>
      </c>
      <c r="E78" s="80"/>
      <c r="F78" s="81" t="s">
        <v>40</v>
      </c>
      <c r="G78" s="81"/>
      <c r="H78" s="81" t="s">
        <v>41</v>
      </c>
      <c r="I78" s="81"/>
      <c r="J78" s="81" t="s">
        <v>42</v>
      </c>
      <c r="K78" s="81"/>
      <c r="L78" s="81" t="s">
        <v>43</v>
      </c>
      <c r="M78" s="81"/>
      <c r="N78" s="81" t="s">
        <v>44</v>
      </c>
      <c r="O78" s="81"/>
      <c r="P78" s="81" t="s">
        <v>45</v>
      </c>
      <c r="Q78" s="81"/>
      <c r="R78" s="81" t="s">
        <v>46</v>
      </c>
      <c r="S78" s="81"/>
    </row>
    <row r="79" ht="20.25" spans="1:24">
      <c r="A79" s="81" t="s">
        <v>27</v>
      </c>
      <c r="B79" s="81" t="s">
        <v>47</v>
      </c>
      <c r="C79" s="81" t="s">
        <v>48</v>
      </c>
      <c r="D79" s="81" t="s">
        <v>47</v>
      </c>
      <c r="E79" s="81" t="s">
        <v>48</v>
      </c>
      <c r="F79" s="81" t="s">
        <v>47</v>
      </c>
      <c r="G79" s="81" t="s">
        <v>48</v>
      </c>
      <c r="H79" s="81" t="s">
        <v>47</v>
      </c>
      <c r="I79" s="81" t="s">
        <v>48</v>
      </c>
      <c r="J79" s="81" t="s">
        <v>49</v>
      </c>
      <c r="K79" s="81" t="s">
        <v>48</v>
      </c>
      <c r="L79" s="81" t="s">
        <v>47</v>
      </c>
      <c r="M79" s="81" t="s">
        <v>48</v>
      </c>
      <c r="N79" s="81" t="s">
        <v>47</v>
      </c>
      <c r="O79" s="81" t="s">
        <v>48</v>
      </c>
      <c r="P79" s="81" t="s">
        <v>47</v>
      </c>
      <c r="Q79" s="81" t="s">
        <v>48</v>
      </c>
      <c r="R79" s="81" t="s">
        <v>47</v>
      </c>
      <c r="S79" s="81" t="s">
        <v>48</v>
      </c>
      <c r="X79" s="84" t="s">
        <v>74</v>
      </c>
    </row>
    <row r="80" ht="20.25" spans="1:24">
      <c r="A80" s="81" t="s">
        <v>50</v>
      </c>
      <c r="B80" s="81" t="e">
        <f>#REF!</f>
        <v>#REF!</v>
      </c>
      <c r="C80" s="81" t="e">
        <f>#REF!+#REF!+#REF!+#REF!</f>
        <v>#REF!</v>
      </c>
      <c r="D80" s="81" t="e">
        <f>#REF!</f>
        <v>#REF!</v>
      </c>
      <c r="E80" s="81" t="e">
        <f>#REF!+#REF!+#REF!+#REF!</f>
        <v>#REF!</v>
      </c>
      <c r="F80" s="81" t="e">
        <f>#REF!</f>
        <v>#REF!</v>
      </c>
      <c r="G80" s="81" t="e">
        <f>#REF!+#REF!+#REF!+#REF!</f>
        <v>#REF!</v>
      </c>
      <c r="H80" s="81" t="e">
        <f>#REF!</f>
        <v>#REF!</v>
      </c>
      <c r="I80" s="81" t="e">
        <f>#REF!+#REF!+#REF!+#REF!</f>
        <v>#REF!</v>
      </c>
      <c r="J80" s="82" t="e">
        <f>K80/SUM($K$80:$K$94)</f>
        <v>#REF!</v>
      </c>
      <c r="K80" s="81" t="e">
        <f>C80+E80+G80+I80</f>
        <v>#REF!</v>
      </c>
      <c r="L80" s="82"/>
      <c r="M80" s="83" t="e">
        <f>#REF!+#REF!+#REF!+#REF!</f>
        <v>#REF!</v>
      </c>
      <c r="N80" s="82"/>
      <c r="O80" s="83" t="e">
        <f>#REF!+#REF!+#REF!+#REF!</f>
        <v>#REF!</v>
      </c>
      <c r="P80" s="82"/>
      <c r="Q80" s="83" t="e">
        <f>#REF!+#REF!+#REF!+#REF!</f>
        <v>#REF!</v>
      </c>
      <c r="R80" s="82"/>
      <c r="S80" s="83" t="e">
        <f>#REF!+#REF!+#REF!+#REF!</f>
        <v>#REF!</v>
      </c>
    </row>
    <row r="81" ht="20.25" spans="1:19">
      <c r="A81" s="81" t="s">
        <v>52</v>
      </c>
      <c r="B81" s="81" t="e">
        <f>#REF!</f>
        <v>#REF!</v>
      </c>
      <c r="C81" s="81" t="e">
        <f>#REF!+#REF!+#REF!+#REF!</f>
        <v>#REF!</v>
      </c>
      <c r="D81" s="81" t="e">
        <f>#REF!</f>
        <v>#REF!</v>
      </c>
      <c r="E81" s="81" t="e">
        <f>#REF!+#REF!+#REF!+#REF!</f>
        <v>#REF!</v>
      </c>
      <c r="F81" s="81" t="e">
        <f>#REF!</f>
        <v>#REF!</v>
      </c>
      <c r="G81" s="81" t="e">
        <f>#REF!+#REF!+#REF!+#REF!</f>
        <v>#REF!</v>
      </c>
      <c r="H81" s="81" t="e">
        <f>#REF!</f>
        <v>#REF!</v>
      </c>
      <c r="I81" s="81" t="e">
        <f>#REF!+#REF!+#REF!+#REF!</f>
        <v>#REF!</v>
      </c>
      <c r="J81" s="82" t="e">
        <f t="shared" ref="J81:J94" si="8">K81/SUM($K$80:$K$94)</f>
        <v>#REF!</v>
      </c>
      <c r="K81" s="81" t="e">
        <f t="shared" ref="K81:K94" si="9">C81+E81+G81+I81</f>
        <v>#REF!</v>
      </c>
      <c r="L81" s="82"/>
      <c r="M81" s="83" t="e">
        <f>#REF!+#REF!+#REF!+#REF!</f>
        <v>#REF!</v>
      </c>
      <c r="N81" s="82"/>
      <c r="O81" s="83" t="e">
        <f>#REF!+#REF!+#REF!+#REF!</f>
        <v>#REF!</v>
      </c>
      <c r="P81" s="82"/>
      <c r="Q81" s="83" t="e">
        <f>#REF!+#REF!+#REF!+#REF!</f>
        <v>#REF!</v>
      </c>
      <c r="R81" s="82"/>
      <c r="S81" s="83" t="e">
        <f>#REF!+#REF!+#REF!+#REF!</f>
        <v>#REF!</v>
      </c>
    </row>
    <row r="82" ht="20.25" spans="1:19">
      <c r="A82" s="81" t="s">
        <v>53</v>
      </c>
      <c r="B82" s="81" t="e">
        <f>#REF!</f>
        <v>#REF!</v>
      </c>
      <c r="C82" s="81" t="e">
        <f>#REF!+#REF!+#REF!+#REF!</f>
        <v>#REF!</v>
      </c>
      <c r="D82" s="81" t="e">
        <f>#REF!</f>
        <v>#REF!</v>
      </c>
      <c r="E82" s="81" t="e">
        <f>#REF!+#REF!+#REF!+#REF!</f>
        <v>#REF!</v>
      </c>
      <c r="F82" s="81" t="e">
        <f>#REF!</f>
        <v>#REF!</v>
      </c>
      <c r="G82" s="81" t="e">
        <f>#REF!+#REF!+#REF!+#REF!</f>
        <v>#REF!</v>
      </c>
      <c r="H82" s="81" t="e">
        <f>#REF!</f>
        <v>#REF!</v>
      </c>
      <c r="I82" s="81" t="e">
        <f>#REF!+#REF!+#REF!+#REF!</f>
        <v>#REF!</v>
      </c>
      <c r="J82" s="82" t="e">
        <f t="shared" si="8"/>
        <v>#REF!</v>
      </c>
      <c r="K82" s="81" t="e">
        <f t="shared" si="9"/>
        <v>#REF!</v>
      </c>
      <c r="L82" s="82"/>
      <c r="M82" s="83" t="e">
        <f>#REF!+#REF!+#REF!+#REF!</f>
        <v>#REF!</v>
      </c>
      <c r="N82" s="82"/>
      <c r="O82" s="83" t="e">
        <f>#REF!+#REF!+#REF!+#REF!</f>
        <v>#REF!</v>
      </c>
      <c r="P82" s="82"/>
      <c r="Q82" s="83" t="e">
        <f>#REF!+#REF!+#REF!+#REF!</f>
        <v>#REF!</v>
      </c>
      <c r="R82" s="82"/>
      <c r="S82" s="83" t="e">
        <f>#REF!+#REF!+#REF!+#REF!</f>
        <v>#REF!</v>
      </c>
    </row>
    <row r="83" ht="20.25" spans="1:19">
      <c r="A83" s="81" t="s">
        <v>54</v>
      </c>
      <c r="B83" s="81" t="e">
        <f>#REF!</f>
        <v>#REF!</v>
      </c>
      <c r="C83" s="81" t="e">
        <f>#REF!+#REF!+#REF!+#REF!</f>
        <v>#REF!</v>
      </c>
      <c r="D83" s="81" t="e">
        <f>#REF!</f>
        <v>#REF!</v>
      </c>
      <c r="E83" s="81" t="e">
        <f>#REF!+#REF!+#REF!+#REF!</f>
        <v>#REF!</v>
      </c>
      <c r="F83" s="81" t="e">
        <f>#REF!</f>
        <v>#REF!</v>
      </c>
      <c r="G83" s="81" t="e">
        <f>#REF!+#REF!+#REF!+#REF!</f>
        <v>#REF!</v>
      </c>
      <c r="H83" s="81" t="e">
        <f>#REF!</f>
        <v>#REF!</v>
      </c>
      <c r="I83" s="81" t="e">
        <f>#REF!+#REF!+#REF!+#REF!</f>
        <v>#REF!</v>
      </c>
      <c r="J83" s="82" t="e">
        <f t="shared" si="8"/>
        <v>#REF!</v>
      </c>
      <c r="K83" s="81" t="e">
        <f t="shared" si="9"/>
        <v>#REF!</v>
      </c>
      <c r="L83" s="82"/>
      <c r="M83" s="83" t="e">
        <f>#REF!+#REF!+#REF!+#REF!</f>
        <v>#REF!</v>
      </c>
      <c r="N83" s="82"/>
      <c r="O83" s="83" t="e">
        <f>#REF!+#REF!+#REF!+#REF!</f>
        <v>#REF!</v>
      </c>
      <c r="P83" s="82"/>
      <c r="Q83" s="83" t="e">
        <f>#REF!+#REF!+#REF!+#REF!</f>
        <v>#REF!</v>
      </c>
      <c r="R83" s="82"/>
      <c r="S83" s="83" t="e">
        <f>#REF!+#REF!+#REF!+#REF!</f>
        <v>#REF!</v>
      </c>
    </row>
    <row r="84" ht="20.25" spans="1:19">
      <c r="A84" s="81" t="s">
        <v>55</v>
      </c>
      <c r="B84" s="81" t="e">
        <f>#REF!</f>
        <v>#REF!</v>
      </c>
      <c r="C84" s="81" t="e">
        <f>#REF!+#REF!+#REF!+#REF!</f>
        <v>#REF!</v>
      </c>
      <c r="D84" s="81" t="e">
        <f>#REF!</f>
        <v>#REF!</v>
      </c>
      <c r="E84" s="81" t="e">
        <f>#REF!+#REF!+#REF!+#REF!</f>
        <v>#REF!</v>
      </c>
      <c r="F84" s="81" t="e">
        <f>#REF!</f>
        <v>#REF!</v>
      </c>
      <c r="G84" s="81" t="e">
        <f>#REF!+#REF!+#REF!+#REF!</f>
        <v>#REF!</v>
      </c>
      <c r="H84" s="81" t="e">
        <f>#REF!</f>
        <v>#REF!</v>
      </c>
      <c r="I84" s="81" t="e">
        <f>#REF!+#REF!+#REF!+#REF!</f>
        <v>#REF!</v>
      </c>
      <c r="J84" s="82" t="e">
        <f t="shared" si="8"/>
        <v>#REF!</v>
      </c>
      <c r="K84" s="81" t="e">
        <f t="shared" si="9"/>
        <v>#REF!</v>
      </c>
      <c r="L84" s="82"/>
      <c r="M84" s="83" t="e">
        <f>#REF!+#REF!+#REF!+#REF!</f>
        <v>#REF!</v>
      </c>
      <c r="N84" s="82"/>
      <c r="O84" s="83" t="e">
        <f>#REF!+#REF!+#REF!+#REF!</f>
        <v>#REF!</v>
      </c>
      <c r="P84" s="82"/>
      <c r="Q84" s="83" t="e">
        <f>#REF!+#REF!+#REF!+#REF!</f>
        <v>#REF!</v>
      </c>
      <c r="R84" s="82"/>
      <c r="S84" s="83" t="e">
        <f>#REF!+#REF!+#REF!+#REF!</f>
        <v>#REF!</v>
      </c>
    </row>
    <row r="85" ht="20.25" spans="1:19">
      <c r="A85" s="81" t="s">
        <v>56</v>
      </c>
      <c r="B85" s="81" t="e">
        <f>#REF!</f>
        <v>#REF!</v>
      </c>
      <c r="C85" s="81" t="e">
        <f>#REF!+#REF!+#REF!+#REF!</f>
        <v>#REF!</v>
      </c>
      <c r="D85" s="81" t="e">
        <f>#REF!</f>
        <v>#REF!</v>
      </c>
      <c r="E85" s="81" t="e">
        <f>#REF!+#REF!+#REF!+#REF!</f>
        <v>#REF!</v>
      </c>
      <c r="F85" s="81" t="e">
        <f>#REF!</f>
        <v>#REF!</v>
      </c>
      <c r="G85" s="81" t="e">
        <f>#REF!+#REF!+#REF!+#REF!</f>
        <v>#REF!</v>
      </c>
      <c r="H85" s="81" t="e">
        <f>#REF!</f>
        <v>#REF!</v>
      </c>
      <c r="I85" s="81" t="e">
        <f>#REF!+#REF!+#REF!+#REF!</f>
        <v>#REF!</v>
      </c>
      <c r="J85" s="82" t="e">
        <f t="shared" si="8"/>
        <v>#REF!</v>
      </c>
      <c r="K85" s="81" t="e">
        <f t="shared" si="9"/>
        <v>#REF!</v>
      </c>
      <c r="L85" s="82"/>
      <c r="M85" s="83" t="e">
        <f>#REF!+#REF!+#REF!+#REF!</f>
        <v>#REF!</v>
      </c>
      <c r="N85" s="82"/>
      <c r="O85" s="83" t="e">
        <f>#REF!+#REF!+#REF!+#REF!</f>
        <v>#REF!</v>
      </c>
      <c r="P85" s="82"/>
      <c r="Q85" s="83" t="e">
        <f>#REF!+#REF!+#REF!+#REF!</f>
        <v>#REF!</v>
      </c>
      <c r="R85" s="82"/>
      <c r="S85" s="83" t="e">
        <f>#REF!+#REF!+#REF!+#REF!</f>
        <v>#REF!</v>
      </c>
    </row>
    <row r="86" ht="20.25" spans="1:19">
      <c r="A86" s="81" t="s">
        <v>57</v>
      </c>
      <c r="B86" s="81" t="e">
        <f>#REF!</f>
        <v>#REF!</v>
      </c>
      <c r="C86" s="81" t="e">
        <f>#REF!+#REF!+#REF!+#REF!</f>
        <v>#REF!</v>
      </c>
      <c r="D86" s="81" t="e">
        <f>#REF!</f>
        <v>#REF!</v>
      </c>
      <c r="E86" s="81" t="e">
        <f>#REF!+#REF!+#REF!+#REF!</f>
        <v>#REF!</v>
      </c>
      <c r="F86" s="81" t="e">
        <f>#REF!</f>
        <v>#REF!</v>
      </c>
      <c r="G86" s="81" t="e">
        <f>#REF!+#REF!+#REF!+#REF!</f>
        <v>#REF!</v>
      </c>
      <c r="H86" s="81" t="e">
        <f>#REF!</f>
        <v>#REF!</v>
      </c>
      <c r="I86" s="81" t="e">
        <f>#REF!+#REF!+#REF!+#REF!</f>
        <v>#REF!</v>
      </c>
      <c r="J86" s="82" t="e">
        <f t="shared" si="8"/>
        <v>#REF!</v>
      </c>
      <c r="K86" s="81" t="e">
        <f t="shared" si="9"/>
        <v>#REF!</v>
      </c>
      <c r="L86" s="82"/>
      <c r="M86" s="83" t="e">
        <f>#REF!+#REF!+#REF!+#REF!</f>
        <v>#REF!</v>
      </c>
      <c r="N86" s="82"/>
      <c r="O86" s="83" t="e">
        <f>#REF!+#REF!+#REF!+#REF!</f>
        <v>#REF!</v>
      </c>
      <c r="P86" s="82"/>
      <c r="Q86" s="83" t="e">
        <f>#REF!+#REF!+#REF!+#REF!</f>
        <v>#REF!</v>
      </c>
      <c r="R86" s="82"/>
      <c r="S86" s="83" t="e">
        <f>#REF!+#REF!+#REF!+#REF!</f>
        <v>#REF!</v>
      </c>
    </row>
    <row r="87" ht="20.25" spans="1:19">
      <c r="A87" s="81" t="s">
        <v>58</v>
      </c>
      <c r="B87" s="81" t="e">
        <f>#REF!</f>
        <v>#REF!</v>
      </c>
      <c r="C87" s="81" t="e">
        <f>#REF!+#REF!+#REF!+#REF!</f>
        <v>#REF!</v>
      </c>
      <c r="D87" s="81" t="e">
        <f>#REF!</f>
        <v>#REF!</v>
      </c>
      <c r="E87" s="81" t="e">
        <f>#REF!+#REF!+#REF!+#REF!</f>
        <v>#REF!</v>
      </c>
      <c r="F87" s="81" t="e">
        <f>#REF!</f>
        <v>#REF!</v>
      </c>
      <c r="G87" s="81" t="e">
        <f>#REF!+#REF!+#REF!+#REF!</f>
        <v>#REF!</v>
      </c>
      <c r="H87" s="81" t="e">
        <f>#REF!</f>
        <v>#REF!</v>
      </c>
      <c r="I87" s="81" t="e">
        <f>#REF!+#REF!+#REF!+#REF!</f>
        <v>#REF!</v>
      </c>
      <c r="J87" s="82" t="e">
        <f t="shared" si="8"/>
        <v>#REF!</v>
      </c>
      <c r="K87" s="81" t="e">
        <f t="shared" si="9"/>
        <v>#REF!</v>
      </c>
      <c r="L87" s="82"/>
      <c r="M87" s="83" t="e">
        <f>#REF!+#REF!+#REF!+#REF!</f>
        <v>#REF!</v>
      </c>
      <c r="N87" s="82"/>
      <c r="O87" s="83" t="e">
        <f>#REF!+#REF!+#REF!+#REF!</f>
        <v>#REF!</v>
      </c>
      <c r="P87" s="82"/>
      <c r="Q87" s="83" t="e">
        <f>#REF!+#REF!+#REF!+#REF!</f>
        <v>#REF!</v>
      </c>
      <c r="R87" s="82"/>
      <c r="S87" s="83" t="e">
        <f>#REF!+#REF!+#REF!+#REF!</f>
        <v>#REF!</v>
      </c>
    </row>
    <row r="88" ht="20.25" spans="1:19">
      <c r="A88" s="81" t="s">
        <v>59</v>
      </c>
      <c r="B88" s="81" t="e">
        <f>#REF!</f>
        <v>#REF!</v>
      </c>
      <c r="C88" s="81" t="e">
        <f>#REF!+#REF!+#REF!+#REF!</f>
        <v>#REF!</v>
      </c>
      <c r="D88" s="81" t="e">
        <f>#REF!</f>
        <v>#REF!</v>
      </c>
      <c r="E88" s="81" t="e">
        <f>#REF!+#REF!+#REF!+#REF!</f>
        <v>#REF!</v>
      </c>
      <c r="F88" s="81" t="e">
        <f>#REF!</f>
        <v>#REF!</v>
      </c>
      <c r="G88" s="81" t="e">
        <f>#REF!+#REF!+#REF!+#REF!</f>
        <v>#REF!</v>
      </c>
      <c r="H88" s="81" t="e">
        <f>#REF!</f>
        <v>#REF!</v>
      </c>
      <c r="I88" s="81" t="e">
        <f>#REF!+#REF!+#REF!+#REF!</f>
        <v>#REF!</v>
      </c>
      <c r="J88" s="82" t="e">
        <f t="shared" si="8"/>
        <v>#REF!</v>
      </c>
      <c r="K88" s="81" t="e">
        <f t="shared" si="9"/>
        <v>#REF!</v>
      </c>
      <c r="L88" s="82"/>
      <c r="M88" s="83" t="e">
        <f>#REF!+#REF!+#REF!+#REF!</f>
        <v>#REF!</v>
      </c>
      <c r="N88" s="82"/>
      <c r="O88" s="83" t="e">
        <f>#REF!+#REF!+#REF!+#REF!</f>
        <v>#REF!</v>
      </c>
      <c r="P88" s="82"/>
      <c r="Q88" s="83" t="e">
        <f>#REF!+#REF!+#REF!+#REF!</f>
        <v>#REF!</v>
      </c>
      <c r="R88" s="82"/>
      <c r="S88" s="83" t="e">
        <f>#REF!+#REF!+#REF!+#REF!</f>
        <v>#REF!</v>
      </c>
    </row>
    <row r="89" ht="20.25" spans="1:19">
      <c r="A89" s="81" t="s">
        <v>60</v>
      </c>
      <c r="B89" s="81" t="e">
        <f>#REF!</f>
        <v>#REF!</v>
      </c>
      <c r="C89" s="81" t="e">
        <f>#REF!+#REF!+#REF!+#REF!</f>
        <v>#REF!</v>
      </c>
      <c r="D89" s="81" t="e">
        <f>#REF!</f>
        <v>#REF!</v>
      </c>
      <c r="E89" s="81" t="e">
        <f>#REF!+#REF!+#REF!+#REF!</f>
        <v>#REF!</v>
      </c>
      <c r="F89" s="81" t="e">
        <f>#REF!</f>
        <v>#REF!</v>
      </c>
      <c r="G89" s="81" t="e">
        <f>#REF!+#REF!+#REF!+#REF!</f>
        <v>#REF!</v>
      </c>
      <c r="H89" s="81" t="e">
        <f>#REF!</f>
        <v>#REF!</v>
      </c>
      <c r="I89" s="81" t="e">
        <f>#REF!+#REF!+#REF!+#REF!</f>
        <v>#REF!</v>
      </c>
      <c r="J89" s="82" t="e">
        <f t="shared" si="8"/>
        <v>#REF!</v>
      </c>
      <c r="K89" s="81" t="e">
        <f t="shared" si="9"/>
        <v>#REF!</v>
      </c>
      <c r="L89" s="82"/>
      <c r="M89" s="83" t="e">
        <f>#REF!+#REF!+#REF!+#REF!</f>
        <v>#REF!</v>
      </c>
      <c r="N89" s="82"/>
      <c r="O89" s="83" t="e">
        <f>#REF!+#REF!+#REF!+#REF!</f>
        <v>#REF!</v>
      </c>
      <c r="P89" s="82"/>
      <c r="Q89" s="83" t="e">
        <f>#REF!+#REF!+#REF!+#REF!</f>
        <v>#REF!</v>
      </c>
      <c r="R89" s="82"/>
      <c r="S89" s="83" t="e">
        <f>#REF!+#REF!+#REF!+#REF!</f>
        <v>#REF!</v>
      </c>
    </row>
    <row r="90" ht="20.25" spans="1:19">
      <c r="A90" s="81" t="s">
        <v>61</v>
      </c>
      <c r="B90" s="81" t="e">
        <f>#REF!</f>
        <v>#REF!</v>
      </c>
      <c r="C90" s="81" t="e">
        <f>#REF!+#REF!+#REF!+#REF!</f>
        <v>#REF!</v>
      </c>
      <c r="D90" s="81" t="e">
        <f>#REF!</f>
        <v>#REF!</v>
      </c>
      <c r="E90" s="81" t="e">
        <f>#REF!+#REF!+#REF!+#REF!</f>
        <v>#REF!</v>
      </c>
      <c r="F90" s="81" t="e">
        <f>#REF!</f>
        <v>#REF!</v>
      </c>
      <c r="G90" s="81" t="e">
        <f>#REF!+#REF!+#REF!+#REF!</f>
        <v>#REF!</v>
      </c>
      <c r="H90" s="81" t="e">
        <f>#REF!</f>
        <v>#REF!</v>
      </c>
      <c r="I90" s="81" t="e">
        <f>#REF!+#REF!+#REF!+#REF!</f>
        <v>#REF!</v>
      </c>
      <c r="J90" s="82" t="e">
        <f t="shared" si="8"/>
        <v>#REF!</v>
      </c>
      <c r="K90" s="81" t="e">
        <f t="shared" si="9"/>
        <v>#REF!</v>
      </c>
      <c r="L90" s="82"/>
      <c r="M90" s="83" t="e">
        <f>#REF!+#REF!+#REF!+#REF!</f>
        <v>#REF!</v>
      </c>
      <c r="N90" s="82"/>
      <c r="O90" s="83" t="e">
        <f>#REF!+#REF!+#REF!+#REF!</f>
        <v>#REF!</v>
      </c>
      <c r="P90" s="82"/>
      <c r="Q90" s="83" t="e">
        <f>#REF!+#REF!+#REF!+#REF!</f>
        <v>#REF!</v>
      </c>
      <c r="R90" s="82"/>
      <c r="S90" s="83" t="e">
        <f>#REF!+#REF!+#REF!+#REF!</f>
        <v>#REF!</v>
      </c>
    </row>
    <row r="91" ht="20.25" spans="1:19">
      <c r="A91" s="81" t="s">
        <v>62</v>
      </c>
      <c r="B91" s="81" t="e">
        <f>#REF!</f>
        <v>#REF!</v>
      </c>
      <c r="C91" s="81" t="e">
        <f>#REF!+#REF!+#REF!+#REF!</f>
        <v>#REF!</v>
      </c>
      <c r="D91" s="81" t="e">
        <f>#REF!</f>
        <v>#REF!</v>
      </c>
      <c r="E91" s="81" t="e">
        <f>#REF!+#REF!+#REF!+#REF!</f>
        <v>#REF!</v>
      </c>
      <c r="F91" s="81" t="e">
        <f>#REF!</f>
        <v>#REF!</v>
      </c>
      <c r="G91" s="81" t="e">
        <f>#REF!+#REF!+#REF!+#REF!</f>
        <v>#REF!</v>
      </c>
      <c r="H91" s="81" t="e">
        <f>#REF!</f>
        <v>#REF!</v>
      </c>
      <c r="I91" s="81" t="e">
        <f>#REF!+#REF!+#REF!+#REF!</f>
        <v>#REF!</v>
      </c>
      <c r="J91" s="82" t="e">
        <f t="shared" si="8"/>
        <v>#REF!</v>
      </c>
      <c r="K91" s="81" t="e">
        <f t="shared" si="9"/>
        <v>#REF!</v>
      </c>
      <c r="L91" s="82"/>
      <c r="M91" s="83" t="e">
        <f>#REF!+#REF!+#REF!+#REF!</f>
        <v>#REF!</v>
      </c>
      <c r="N91" s="82"/>
      <c r="O91" s="83" t="e">
        <f>#REF!+#REF!+#REF!+#REF!</f>
        <v>#REF!</v>
      </c>
      <c r="P91" s="82"/>
      <c r="Q91" s="83" t="e">
        <f>#REF!+#REF!+#REF!+#REF!</f>
        <v>#REF!</v>
      </c>
      <c r="R91" s="82"/>
      <c r="S91" s="83" t="e">
        <f>#REF!+#REF!+#REF!+#REF!</f>
        <v>#REF!</v>
      </c>
    </row>
    <row r="92" ht="20.25" spans="1:19">
      <c r="A92" s="81" t="s">
        <v>63</v>
      </c>
      <c r="B92" s="81" t="e">
        <f>#REF!</f>
        <v>#REF!</v>
      </c>
      <c r="C92" s="81" t="e">
        <f>#REF!+#REF!+#REF!+#REF!</f>
        <v>#REF!</v>
      </c>
      <c r="D92" s="81" t="e">
        <f>#REF!</f>
        <v>#REF!</v>
      </c>
      <c r="E92" s="81" t="e">
        <f>#REF!+#REF!+#REF!+#REF!</f>
        <v>#REF!</v>
      </c>
      <c r="F92" s="81" t="e">
        <f>#REF!</f>
        <v>#REF!</v>
      </c>
      <c r="G92" s="81" t="e">
        <f>#REF!+#REF!+#REF!+#REF!</f>
        <v>#REF!</v>
      </c>
      <c r="H92" s="81" t="e">
        <f>#REF!</f>
        <v>#REF!</v>
      </c>
      <c r="I92" s="81" t="e">
        <f>#REF!+#REF!+#REF!+#REF!</f>
        <v>#REF!</v>
      </c>
      <c r="J92" s="82" t="e">
        <f t="shared" si="8"/>
        <v>#REF!</v>
      </c>
      <c r="K92" s="81" t="e">
        <f t="shared" si="9"/>
        <v>#REF!</v>
      </c>
      <c r="L92" s="82"/>
      <c r="M92" s="83" t="e">
        <f>#REF!+#REF!+#REF!+#REF!</f>
        <v>#REF!</v>
      </c>
      <c r="N92" s="82"/>
      <c r="O92" s="83" t="e">
        <f>#REF!+#REF!+#REF!+#REF!</f>
        <v>#REF!</v>
      </c>
      <c r="P92" s="82"/>
      <c r="Q92" s="83" t="e">
        <f>#REF!+#REF!+#REF!+#REF!</f>
        <v>#REF!</v>
      </c>
      <c r="R92" s="82"/>
      <c r="S92" s="83" t="e">
        <f>#REF!+#REF!+#REF!+#REF!</f>
        <v>#REF!</v>
      </c>
    </row>
    <row r="93" ht="20.25" spans="1:19">
      <c r="A93" s="81" t="s">
        <v>64</v>
      </c>
      <c r="B93" s="81" t="e">
        <f>#REF!</f>
        <v>#REF!</v>
      </c>
      <c r="C93" s="81" t="e">
        <f>#REF!+#REF!+#REF!+#REF!</f>
        <v>#REF!</v>
      </c>
      <c r="D93" s="81" t="e">
        <f>#REF!</f>
        <v>#REF!</v>
      </c>
      <c r="E93" s="81" t="e">
        <f>#REF!+#REF!+#REF!+#REF!</f>
        <v>#REF!</v>
      </c>
      <c r="F93" s="81" t="e">
        <f>#REF!</f>
        <v>#REF!</v>
      </c>
      <c r="G93" s="81" t="e">
        <f>#REF!+#REF!+#REF!+#REF!</f>
        <v>#REF!</v>
      </c>
      <c r="H93" s="81" t="e">
        <f>#REF!</f>
        <v>#REF!</v>
      </c>
      <c r="I93" s="81" t="e">
        <f>#REF!+#REF!+#REF!+#REF!</f>
        <v>#REF!</v>
      </c>
      <c r="J93" s="82" t="e">
        <f t="shared" si="8"/>
        <v>#REF!</v>
      </c>
      <c r="K93" s="81" t="e">
        <f t="shared" si="9"/>
        <v>#REF!</v>
      </c>
      <c r="L93" s="82"/>
      <c r="M93" s="83" t="e">
        <f>#REF!+#REF!+#REF!+#REF!</f>
        <v>#REF!</v>
      </c>
      <c r="N93" s="82"/>
      <c r="O93" s="83" t="e">
        <f>#REF!+#REF!+#REF!+#REF!</f>
        <v>#REF!</v>
      </c>
      <c r="P93" s="82"/>
      <c r="Q93" s="83" t="e">
        <f>#REF!+#REF!+#REF!+#REF!</f>
        <v>#REF!</v>
      </c>
      <c r="R93" s="82"/>
      <c r="S93" s="83" t="e">
        <f>#REF!+#REF!+#REF!+#REF!</f>
        <v>#REF!</v>
      </c>
    </row>
    <row r="94" ht="20.25" spans="1:19">
      <c r="A94" s="81" t="s">
        <v>65</v>
      </c>
      <c r="B94" s="81" t="e">
        <f>#REF!</f>
        <v>#REF!</v>
      </c>
      <c r="C94" s="81" t="e">
        <f>#REF!+#REF!+#REF!+#REF!</f>
        <v>#REF!</v>
      </c>
      <c r="D94" s="81" t="e">
        <f>#REF!</f>
        <v>#REF!</v>
      </c>
      <c r="E94" s="81" t="e">
        <f>#REF!+#REF!+#REF!+#REF!</f>
        <v>#REF!</v>
      </c>
      <c r="F94" s="81" t="e">
        <f>#REF!</f>
        <v>#REF!</v>
      </c>
      <c r="G94" s="81" t="e">
        <f>#REF!+#REF!+#REF!+#REF!</f>
        <v>#REF!</v>
      </c>
      <c r="H94" s="81" t="e">
        <f>#REF!</f>
        <v>#REF!</v>
      </c>
      <c r="I94" s="81" t="e">
        <f>#REF!+#REF!+#REF!+#REF!</f>
        <v>#REF!</v>
      </c>
      <c r="J94" s="82" t="e">
        <f t="shared" si="8"/>
        <v>#REF!</v>
      </c>
      <c r="K94" s="81" t="e">
        <f t="shared" si="9"/>
        <v>#REF!</v>
      </c>
      <c r="L94" s="82"/>
      <c r="M94" s="83" t="e">
        <f>#REF!+#REF!+#REF!+#REF!</f>
        <v>#REF!</v>
      </c>
      <c r="N94" s="82"/>
      <c r="O94" s="83" t="e">
        <f>#REF!+#REF!+#REF!+#REF!</f>
        <v>#REF!</v>
      </c>
      <c r="P94" s="82"/>
      <c r="Q94" s="83" t="e">
        <f>#REF!+#REF!+#REF!+#REF!</f>
        <v>#REF!</v>
      </c>
      <c r="R94" s="82"/>
      <c r="S94" s="83" t="e">
        <f>#REF!+#REF!+#REF!+#REF!</f>
        <v>#REF!</v>
      </c>
    </row>
    <row r="96" ht="20.25" spans="1:19">
      <c r="A96" s="81" t="s">
        <v>66</v>
      </c>
      <c r="B96" s="81" t="s">
        <v>75</v>
      </c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</row>
    <row r="97" ht="20.25" spans="1:24">
      <c r="A97" s="81" t="s">
        <v>37</v>
      </c>
      <c r="B97" s="81" t="s">
        <v>38</v>
      </c>
      <c r="C97" s="81"/>
      <c r="D97" s="78" t="s">
        <v>39</v>
      </c>
      <c r="E97" s="80"/>
      <c r="F97" s="81" t="s">
        <v>40</v>
      </c>
      <c r="G97" s="81"/>
      <c r="H97" s="81" t="s">
        <v>41</v>
      </c>
      <c r="I97" s="81"/>
      <c r="J97" s="81" t="s">
        <v>42</v>
      </c>
      <c r="K97" s="81"/>
      <c r="L97" s="81" t="s">
        <v>43</v>
      </c>
      <c r="M97" s="81"/>
      <c r="N97" s="81" t="s">
        <v>44</v>
      </c>
      <c r="O97" s="81"/>
      <c r="P97" s="81" t="s">
        <v>45</v>
      </c>
      <c r="Q97" s="81"/>
      <c r="R97" s="81" t="s">
        <v>46</v>
      </c>
      <c r="S97" s="81"/>
      <c r="X97" s="84" t="s">
        <v>76</v>
      </c>
    </row>
    <row r="98" ht="20.25" spans="1:24">
      <c r="A98" s="81" t="s">
        <v>27</v>
      </c>
      <c r="B98" s="81" t="s">
        <v>47</v>
      </c>
      <c r="C98" s="81" t="s">
        <v>48</v>
      </c>
      <c r="D98" s="81" t="s">
        <v>47</v>
      </c>
      <c r="E98" s="81" t="s">
        <v>48</v>
      </c>
      <c r="F98" s="81" t="s">
        <v>47</v>
      </c>
      <c r="G98" s="81" t="s">
        <v>48</v>
      </c>
      <c r="H98" s="81" t="s">
        <v>47</v>
      </c>
      <c r="I98" s="81" t="s">
        <v>48</v>
      </c>
      <c r="J98" s="81" t="s">
        <v>49</v>
      </c>
      <c r="K98" s="81" t="s">
        <v>48</v>
      </c>
      <c r="L98" s="81" t="s">
        <v>47</v>
      </c>
      <c r="M98" s="81" t="s">
        <v>48</v>
      </c>
      <c r="N98" s="81" t="s">
        <v>47</v>
      </c>
      <c r="O98" s="81" t="s">
        <v>48</v>
      </c>
      <c r="P98" s="81" t="s">
        <v>47</v>
      </c>
      <c r="Q98" s="81" t="s">
        <v>48</v>
      </c>
      <c r="R98" s="81" t="s">
        <v>47</v>
      </c>
      <c r="S98" s="81" t="s">
        <v>48</v>
      </c>
    </row>
    <row r="99" ht="20.25" spans="1:24">
      <c r="A99" s="81" t="s">
        <v>50</v>
      </c>
      <c r="B99" s="81" t="e">
        <f>#REF!</f>
        <v>#REF!</v>
      </c>
      <c r="C99" s="81" t="e">
        <f>#REF!+#REF!+#REF!+#REF!</f>
        <v>#REF!</v>
      </c>
      <c r="D99" s="81" t="e">
        <f>#REF!</f>
        <v>#REF!</v>
      </c>
      <c r="E99" s="81" t="e">
        <f>#REF!+#REF!+#REF!+#REF!</f>
        <v>#REF!</v>
      </c>
      <c r="F99" s="81" t="e">
        <f>#REF!</f>
        <v>#REF!</v>
      </c>
      <c r="G99" s="81" t="e">
        <f>#REF!+#REF!+#REF!+#REF!</f>
        <v>#REF!</v>
      </c>
      <c r="H99" s="81" t="e">
        <f>#REF!</f>
        <v>#REF!</v>
      </c>
      <c r="I99" s="81" t="e">
        <f>#REF!+#REF!+#REF!+#REF!</f>
        <v>#REF!</v>
      </c>
      <c r="J99" s="82" t="e">
        <f>K99/SUM($K$99:$K$113)</f>
        <v>#REF!</v>
      </c>
      <c r="K99" s="81" t="e">
        <f>C99+E99+G99+I99</f>
        <v>#REF!</v>
      </c>
      <c r="L99" s="82"/>
      <c r="M99" s="83" t="e">
        <f>#REF!+#REF!+#REF!+#REF!</f>
        <v>#REF!</v>
      </c>
      <c r="N99" s="82"/>
      <c r="O99" s="83" t="e">
        <f>#REF!+#REF!+#REF!+#REF!</f>
        <v>#REF!</v>
      </c>
      <c r="P99" s="82"/>
      <c r="Q99" s="83" t="e">
        <f>#REF!+#REF!+#REF!+#REF!</f>
        <v>#REF!</v>
      </c>
      <c r="R99" s="82"/>
      <c r="S99" s="83" t="e">
        <f>#REF!+#REF!+#REF!+#REF!</f>
        <v>#REF!</v>
      </c>
    </row>
    <row r="100" ht="20.25" spans="1:24">
      <c r="A100" s="81" t="s">
        <v>52</v>
      </c>
      <c r="B100" s="81" t="e">
        <f>#REF!</f>
        <v>#REF!</v>
      </c>
      <c r="C100" s="81" t="e">
        <f>#REF!+#REF!+#REF!+#REF!</f>
        <v>#REF!</v>
      </c>
      <c r="D100" s="81" t="e">
        <f>#REF!</f>
        <v>#REF!</v>
      </c>
      <c r="E100" s="81" t="e">
        <f>#REF!+#REF!+#REF!+#REF!</f>
        <v>#REF!</v>
      </c>
      <c r="F100" s="81" t="e">
        <f>#REF!</f>
        <v>#REF!</v>
      </c>
      <c r="G100" s="81" t="e">
        <f>#REF!+#REF!+#REF!+#REF!</f>
        <v>#REF!</v>
      </c>
      <c r="H100" s="81" t="e">
        <f>#REF!</f>
        <v>#REF!</v>
      </c>
      <c r="I100" s="81" t="e">
        <f>#REF!+#REF!+#REF!+#REF!</f>
        <v>#REF!</v>
      </c>
      <c r="J100" s="82" t="e">
        <f t="shared" ref="J100:J113" si="10">K100/SUM($K$99:$K$113)</f>
        <v>#REF!</v>
      </c>
      <c r="K100" s="81" t="e">
        <f t="shared" ref="K100:K113" si="11">C100+E100+G100+I100</f>
        <v>#REF!</v>
      </c>
      <c r="L100" s="82"/>
      <c r="M100" s="83" t="e">
        <f>#REF!+#REF!+#REF!+#REF!</f>
        <v>#REF!</v>
      </c>
      <c r="N100" s="82"/>
      <c r="O100" s="83" t="e">
        <f>#REF!+#REF!+#REF!+#REF!</f>
        <v>#REF!</v>
      </c>
      <c r="P100" s="82"/>
      <c r="Q100" s="83" t="e">
        <f>#REF!+#REF!+#REF!+#REF!</f>
        <v>#REF!</v>
      </c>
      <c r="R100" s="82"/>
      <c r="S100" s="83" t="e">
        <f>#REF!+#REF!+#REF!+#REF!</f>
        <v>#REF!</v>
      </c>
    </row>
    <row r="101" ht="20.25" spans="1:24">
      <c r="A101" s="81" t="s">
        <v>53</v>
      </c>
      <c r="B101" s="81" t="e">
        <f>#REF!</f>
        <v>#REF!</v>
      </c>
      <c r="C101" s="81" t="e">
        <f>#REF!+#REF!+#REF!+#REF!</f>
        <v>#REF!</v>
      </c>
      <c r="D101" s="81" t="e">
        <f>#REF!</f>
        <v>#REF!</v>
      </c>
      <c r="E101" s="81" t="e">
        <f>#REF!+#REF!+#REF!+#REF!</f>
        <v>#REF!</v>
      </c>
      <c r="F101" s="81" t="e">
        <f>#REF!</f>
        <v>#REF!</v>
      </c>
      <c r="G101" s="81" t="e">
        <f>#REF!+#REF!+#REF!+#REF!</f>
        <v>#REF!</v>
      </c>
      <c r="H101" s="81" t="e">
        <f>#REF!</f>
        <v>#REF!</v>
      </c>
      <c r="I101" s="81" t="e">
        <f>#REF!+#REF!+#REF!+#REF!</f>
        <v>#REF!</v>
      </c>
      <c r="J101" s="82" t="e">
        <f t="shared" si="10"/>
        <v>#REF!</v>
      </c>
      <c r="K101" s="81" t="e">
        <f t="shared" si="11"/>
        <v>#REF!</v>
      </c>
      <c r="L101" s="82"/>
      <c r="M101" s="83" t="e">
        <f>#REF!+#REF!+#REF!+#REF!</f>
        <v>#REF!</v>
      </c>
      <c r="N101" s="82"/>
      <c r="O101" s="83" t="e">
        <f>#REF!+#REF!+#REF!+#REF!</f>
        <v>#REF!</v>
      </c>
      <c r="P101" s="82"/>
      <c r="Q101" s="83" t="e">
        <f>#REF!+#REF!+#REF!+#REF!</f>
        <v>#REF!</v>
      </c>
      <c r="R101" s="82"/>
      <c r="S101" s="83" t="e">
        <f>#REF!+#REF!+#REF!+#REF!</f>
        <v>#REF!</v>
      </c>
    </row>
    <row r="102" ht="20.25" spans="1:24">
      <c r="A102" s="81" t="s">
        <v>54</v>
      </c>
      <c r="B102" s="81" t="e">
        <f>#REF!</f>
        <v>#REF!</v>
      </c>
      <c r="C102" s="81" t="e">
        <f>#REF!+#REF!+#REF!+#REF!</f>
        <v>#REF!</v>
      </c>
      <c r="D102" s="81" t="e">
        <f>#REF!</f>
        <v>#REF!</v>
      </c>
      <c r="E102" s="81" t="e">
        <f>#REF!+#REF!+#REF!+#REF!</f>
        <v>#REF!</v>
      </c>
      <c r="F102" s="81" t="e">
        <f>#REF!</f>
        <v>#REF!</v>
      </c>
      <c r="G102" s="81" t="e">
        <f>#REF!+#REF!+#REF!+#REF!</f>
        <v>#REF!</v>
      </c>
      <c r="H102" s="81" t="e">
        <f>#REF!</f>
        <v>#REF!</v>
      </c>
      <c r="I102" s="81" t="e">
        <f>#REF!+#REF!+#REF!+#REF!</f>
        <v>#REF!</v>
      </c>
      <c r="J102" s="82" t="e">
        <f t="shared" si="10"/>
        <v>#REF!</v>
      </c>
      <c r="K102" s="81" t="e">
        <f t="shared" si="11"/>
        <v>#REF!</v>
      </c>
      <c r="L102" s="82"/>
      <c r="M102" s="83" t="e">
        <f>#REF!+#REF!+#REF!+#REF!</f>
        <v>#REF!</v>
      </c>
      <c r="N102" s="82"/>
      <c r="O102" s="83" t="e">
        <f>#REF!+#REF!+#REF!+#REF!</f>
        <v>#REF!</v>
      </c>
      <c r="P102" s="82"/>
      <c r="Q102" s="83" t="e">
        <f>#REF!+#REF!+#REF!+#REF!</f>
        <v>#REF!</v>
      </c>
      <c r="R102" s="82"/>
      <c r="S102" s="83" t="e">
        <f>#REF!+#REF!+#REF!+#REF!</f>
        <v>#REF!</v>
      </c>
    </row>
    <row r="103" ht="20.25" spans="1:24">
      <c r="A103" s="81" t="s">
        <v>55</v>
      </c>
      <c r="B103" s="81" t="e">
        <f>#REF!</f>
        <v>#REF!</v>
      </c>
      <c r="C103" s="81" t="e">
        <f>#REF!+#REF!+#REF!+#REF!</f>
        <v>#REF!</v>
      </c>
      <c r="D103" s="81" t="e">
        <f>#REF!</f>
        <v>#REF!</v>
      </c>
      <c r="E103" s="81" t="e">
        <f>#REF!+#REF!+#REF!+#REF!</f>
        <v>#REF!</v>
      </c>
      <c r="F103" s="81" t="e">
        <f>#REF!</f>
        <v>#REF!</v>
      </c>
      <c r="G103" s="81" t="e">
        <f>#REF!+#REF!+#REF!+#REF!</f>
        <v>#REF!</v>
      </c>
      <c r="H103" s="81" t="e">
        <f>#REF!</f>
        <v>#REF!</v>
      </c>
      <c r="I103" s="81" t="e">
        <f>#REF!+#REF!+#REF!+#REF!</f>
        <v>#REF!</v>
      </c>
      <c r="J103" s="82" t="e">
        <f t="shared" si="10"/>
        <v>#REF!</v>
      </c>
      <c r="K103" s="81" t="e">
        <f t="shared" si="11"/>
        <v>#REF!</v>
      </c>
      <c r="L103" s="82"/>
      <c r="M103" s="83" t="e">
        <f>#REF!+#REF!+#REF!+#REF!</f>
        <v>#REF!</v>
      </c>
      <c r="N103" s="82"/>
      <c r="O103" s="83" t="e">
        <f>#REF!+#REF!+#REF!+#REF!</f>
        <v>#REF!</v>
      </c>
      <c r="P103" s="82"/>
      <c r="Q103" s="83" t="e">
        <f>#REF!+#REF!+#REF!+#REF!</f>
        <v>#REF!</v>
      </c>
      <c r="R103" s="82"/>
      <c r="S103" s="83" t="e">
        <f>#REF!+#REF!+#REF!+#REF!</f>
        <v>#REF!</v>
      </c>
    </row>
    <row r="104" ht="20.25" spans="1:24">
      <c r="A104" s="81" t="s">
        <v>56</v>
      </c>
      <c r="B104" s="81" t="e">
        <f>#REF!</f>
        <v>#REF!</v>
      </c>
      <c r="C104" s="81" t="e">
        <f>#REF!+#REF!+#REF!+#REF!</f>
        <v>#REF!</v>
      </c>
      <c r="D104" s="81" t="e">
        <f>#REF!</f>
        <v>#REF!</v>
      </c>
      <c r="E104" s="81" t="e">
        <f>#REF!+#REF!+#REF!+#REF!</f>
        <v>#REF!</v>
      </c>
      <c r="F104" s="81" t="e">
        <f>#REF!</f>
        <v>#REF!</v>
      </c>
      <c r="G104" s="81" t="e">
        <f>#REF!+#REF!+#REF!+#REF!</f>
        <v>#REF!</v>
      </c>
      <c r="H104" s="81" t="e">
        <f>#REF!</f>
        <v>#REF!</v>
      </c>
      <c r="I104" s="81" t="e">
        <f>#REF!+#REF!+#REF!+#REF!</f>
        <v>#REF!</v>
      </c>
      <c r="J104" s="82" t="e">
        <f t="shared" si="10"/>
        <v>#REF!</v>
      </c>
      <c r="K104" s="81" t="e">
        <f t="shared" si="11"/>
        <v>#REF!</v>
      </c>
      <c r="L104" s="82"/>
      <c r="M104" s="83" t="e">
        <f>#REF!+#REF!+#REF!+#REF!</f>
        <v>#REF!</v>
      </c>
      <c r="N104" s="82"/>
      <c r="O104" s="83" t="e">
        <f>#REF!+#REF!+#REF!+#REF!</f>
        <v>#REF!</v>
      </c>
      <c r="P104" s="82"/>
      <c r="Q104" s="83" t="e">
        <f>#REF!+#REF!+#REF!+#REF!</f>
        <v>#REF!</v>
      </c>
      <c r="R104" s="82"/>
      <c r="S104" s="83" t="e">
        <f>#REF!+#REF!+#REF!+#REF!</f>
        <v>#REF!</v>
      </c>
    </row>
    <row r="105" ht="20.25" spans="1:24">
      <c r="A105" s="81" t="s">
        <v>57</v>
      </c>
      <c r="B105" s="81" t="e">
        <f>#REF!</f>
        <v>#REF!</v>
      </c>
      <c r="C105" s="81" t="e">
        <f>#REF!+#REF!+#REF!+#REF!</f>
        <v>#REF!</v>
      </c>
      <c r="D105" s="81" t="e">
        <f>#REF!</f>
        <v>#REF!</v>
      </c>
      <c r="E105" s="81" t="e">
        <f>#REF!+#REF!+#REF!+#REF!</f>
        <v>#REF!</v>
      </c>
      <c r="F105" s="81" t="e">
        <f>#REF!</f>
        <v>#REF!</v>
      </c>
      <c r="G105" s="81" t="e">
        <f>#REF!+#REF!+#REF!+#REF!</f>
        <v>#REF!</v>
      </c>
      <c r="H105" s="81" t="e">
        <f>#REF!</f>
        <v>#REF!</v>
      </c>
      <c r="I105" s="81" t="e">
        <f>#REF!+#REF!+#REF!+#REF!</f>
        <v>#REF!</v>
      </c>
      <c r="J105" s="82" t="e">
        <f t="shared" si="10"/>
        <v>#REF!</v>
      </c>
      <c r="K105" s="81" t="e">
        <f t="shared" si="11"/>
        <v>#REF!</v>
      </c>
      <c r="L105" s="82"/>
      <c r="M105" s="83" t="e">
        <f>#REF!+#REF!+#REF!+#REF!</f>
        <v>#REF!</v>
      </c>
      <c r="N105" s="82"/>
      <c r="O105" s="83" t="e">
        <f>#REF!+#REF!+#REF!+#REF!</f>
        <v>#REF!</v>
      </c>
      <c r="P105" s="82"/>
      <c r="Q105" s="83" t="e">
        <f>#REF!+#REF!+#REF!+#REF!</f>
        <v>#REF!</v>
      </c>
      <c r="R105" s="82"/>
      <c r="S105" s="83" t="e">
        <f>#REF!+#REF!+#REF!+#REF!</f>
        <v>#REF!</v>
      </c>
    </row>
    <row r="106" ht="20.25" spans="1:24">
      <c r="A106" s="81" t="s">
        <v>58</v>
      </c>
      <c r="B106" s="81" t="e">
        <f>#REF!</f>
        <v>#REF!</v>
      </c>
      <c r="C106" s="81" t="e">
        <f>#REF!+#REF!+#REF!+#REF!</f>
        <v>#REF!</v>
      </c>
      <c r="D106" s="81" t="e">
        <f>#REF!</f>
        <v>#REF!</v>
      </c>
      <c r="E106" s="81" t="e">
        <f>#REF!+#REF!+#REF!+#REF!</f>
        <v>#REF!</v>
      </c>
      <c r="F106" s="81" t="e">
        <f>#REF!</f>
        <v>#REF!</v>
      </c>
      <c r="G106" s="81" t="e">
        <f>#REF!+#REF!+#REF!+#REF!</f>
        <v>#REF!</v>
      </c>
      <c r="H106" s="81" t="e">
        <f>#REF!</f>
        <v>#REF!</v>
      </c>
      <c r="I106" s="81" t="e">
        <f>#REF!+#REF!+#REF!+#REF!</f>
        <v>#REF!</v>
      </c>
      <c r="J106" s="82" t="e">
        <f t="shared" si="10"/>
        <v>#REF!</v>
      </c>
      <c r="K106" s="81" t="e">
        <f t="shared" si="11"/>
        <v>#REF!</v>
      </c>
      <c r="L106" s="82"/>
      <c r="M106" s="83" t="e">
        <f>#REF!+#REF!+#REF!+#REF!</f>
        <v>#REF!</v>
      </c>
      <c r="N106" s="82"/>
      <c r="O106" s="83" t="e">
        <f>#REF!+#REF!+#REF!+#REF!</f>
        <v>#REF!</v>
      </c>
      <c r="P106" s="82"/>
      <c r="Q106" s="83" t="e">
        <f>#REF!+#REF!+#REF!+#REF!</f>
        <v>#REF!</v>
      </c>
      <c r="R106" s="82"/>
      <c r="S106" s="83" t="e">
        <f>#REF!+#REF!+#REF!+#REF!</f>
        <v>#REF!</v>
      </c>
    </row>
    <row r="107" ht="20.25" spans="1:24">
      <c r="A107" s="81" t="s">
        <v>59</v>
      </c>
      <c r="B107" s="81" t="e">
        <f>#REF!</f>
        <v>#REF!</v>
      </c>
      <c r="C107" s="81" t="e">
        <f>#REF!+#REF!+#REF!+#REF!</f>
        <v>#REF!</v>
      </c>
      <c r="D107" s="81" t="e">
        <f>#REF!</f>
        <v>#REF!</v>
      </c>
      <c r="E107" s="81" t="e">
        <f>#REF!+#REF!+#REF!+#REF!</f>
        <v>#REF!</v>
      </c>
      <c r="F107" s="81" t="e">
        <f>#REF!</f>
        <v>#REF!</v>
      </c>
      <c r="G107" s="81" t="e">
        <f>#REF!+#REF!+#REF!+#REF!</f>
        <v>#REF!</v>
      </c>
      <c r="H107" s="81" t="e">
        <f>#REF!</f>
        <v>#REF!</v>
      </c>
      <c r="I107" s="81" t="e">
        <f>#REF!+#REF!+#REF!+#REF!</f>
        <v>#REF!</v>
      </c>
      <c r="J107" s="82" t="e">
        <f t="shared" si="10"/>
        <v>#REF!</v>
      </c>
      <c r="K107" s="81" t="e">
        <f t="shared" si="11"/>
        <v>#REF!</v>
      </c>
      <c r="L107" s="82"/>
      <c r="M107" s="83" t="e">
        <f>#REF!+#REF!+#REF!+#REF!</f>
        <v>#REF!</v>
      </c>
      <c r="N107" s="82"/>
      <c r="O107" s="83" t="e">
        <f>#REF!+#REF!+#REF!+#REF!</f>
        <v>#REF!</v>
      </c>
      <c r="P107" s="82"/>
      <c r="Q107" s="83" t="e">
        <f>#REF!+#REF!+#REF!+#REF!</f>
        <v>#REF!</v>
      </c>
      <c r="R107" s="82"/>
      <c r="S107" s="83" t="e">
        <f>#REF!+#REF!+#REF!+#REF!</f>
        <v>#REF!</v>
      </c>
    </row>
    <row r="108" ht="20.25" spans="1:24">
      <c r="A108" s="81" t="s">
        <v>60</v>
      </c>
      <c r="B108" s="81" t="e">
        <f>#REF!</f>
        <v>#REF!</v>
      </c>
      <c r="C108" s="81" t="e">
        <f>#REF!+#REF!+#REF!+#REF!</f>
        <v>#REF!</v>
      </c>
      <c r="D108" s="81" t="e">
        <f>#REF!</f>
        <v>#REF!</v>
      </c>
      <c r="E108" s="81" t="e">
        <f>#REF!+#REF!+#REF!+#REF!</f>
        <v>#REF!</v>
      </c>
      <c r="F108" s="81" t="e">
        <f>#REF!</f>
        <v>#REF!</v>
      </c>
      <c r="G108" s="81" t="e">
        <f>#REF!+#REF!+#REF!+#REF!</f>
        <v>#REF!</v>
      </c>
      <c r="H108" s="81" t="e">
        <f>#REF!</f>
        <v>#REF!</v>
      </c>
      <c r="I108" s="81" t="e">
        <f>#REF!+#REF!+#REF!+#REF!</f>
        <v>#REF!</v>
      </c>
      <c r="J108" s="82" t="e">
        <f t="shared" si="10"/>
        <v>#REF!</v>
      </c>
      <c r="K108" s="81" t="e">
        <f t="shared" si="11"/>
        <v>#REF!</v>
      </c>
      <c r="L108" s="82"/>
      <c r="M108" s="83" t="e">
        <f>#REF!+#REF!+#REF!+#REF!</f>
        <v>#REF!</v>
      </c>
      <c r="N108" s="82"/>
      <c r="O108" s="83" t="e">
        <f>#REF!+#REF!+#REF!+#REF!</f>
        <v>#REF!</v>
      </c>
      <c r="P108" s="82"/>
      <c r="Q108" s="83" t="e">
        <f>#REF!+#REF!+#REF!+#REF!</f>
        <v>#REF!</v>
      </c>
      <c r="R108" s="82"/>
      <c r="S108" s="83" t="e">
        <f>#REF!+#REF!+#REF!+#REF!</f>
        <v>#REF!</v>
      </c>
    </row>
    <row r="109" ht="20.25" spans="1:24">
      <c r="A109" s="81" t="s">
        <v>61</v>
      </c>
      <c r="B109" s="81" t="e">
        <f>#REF!</f>
        <v>#REF!</v>
      </c>
      <c r="C109" s="81" t="e">
        <f>#REF!+#REF!+#REF!+#REF!</f>
        <v>#REF!</v>
      </c>
      <c r="D109" s="81" t="e">
        <f>#REF!</f>
        <v>#REF!</v>
      </c>
      <c r="E109" s="81" t="e">
        <f>#REF!+#REF!+#REF!+#REF!</f>
        <v>#REF!</v>
      </c>
      <c r="F109" s="81" t="e">
        <f>#REF!</f>
        <v>#REF!</v>
      </c>
      <c r="G109" s="81" t="e">
        <f>#REF!+#REF!+#REF!+#REF!</f>
        <v>#REF!</v>
      </c>
      <c r="H109" s="81" t="e">
        <f>#REF!</f>
        <v>#REF!</v>
      </c>
      <c r="I109" s="81" t="e">
        <f>#REF!+#REF!+#REF!+#REF!</f>
        <v>#REF!</v>
      </c>
      <c r="J109" s="82" t="e">
        <f t="shared" si="10"/>
        <v>#REF!</v>
      </c>
      <c r="K109" s="81" t="e">
        <f t="shared" si="11"/>
        <v>#REF!</v>
      </c>
      <c r="L109" s="82"/>
      <c r="M109" s="83" t="e">
        <f>#REF!+#REF!+#REF!+#REF!</f>
        <v>#REF!</v>
      </c>
      <c r="N109" s="82"/>
      <c r="O109" s="83" t="e">
        <f>#REF!+#REF!+#REF!+#REF!</f>
        <v>#REF!</v>
      </c>
      <c r="P109" s="82"/>
      <c r="Q109" s="83" t="e">
        <f>#REF!+#REF!+#REF!+#REF!</f>
        <v>#REF!</v>
      </c>
      <c r="R109" s="82"/>
      <c r="S109" s="83" t="e">
        <f>#REF!+#REF!+#REF!+#REF!</f>
        <v>#REF!</v>
      </c>
    </row>
    <row r="110" ht="20.25" spans="1:24">
      <c r="A110" s="81" t="s">
        <v>62</v>
      </c>
      <c r="B110" s="81" t="e">
        <f>#REF!</f>
        <v>#REF!</v>
      </c>
      <c r="C110" s="81" t="e">
        <f>#REF!+#REF!+#REF!+#REF!</f>
        <v>#REF!</v>
      </c>
      <c r="D110" s="81" t="e">
        <f>#REF!</f>
        <v>#REF!</v>
      </c>
      <c r="E110" s="81" t="e">
        <f>#REF!+#REF!+#REF!+#REF!</f>
        <v>#REF!</v>
      </c>
      <c r="F110" s="81" t="e">
        <f>#REF!</f>
        <v>#REF!</v>
      </c>
      <c r="G110" s="81" t="e">
        <f>#REF!+#REF!+#REF!+#REF!</f>
        <v>#REF!</v>
      </c>
      <c r="H110" s="81" t="e">
        <f>#REF!</f>
        <v>#REF!</v>
      </c>
      <c r="I110" s="81" t="e">
        <f>#REF!+#REF!+#REF!+#REF!</f>
        <v>#REF!</v>
      </c>
      <c r="J110" s="82" t="e">
        <f t="shared" si="10"/>
        <v>#REF!</v>
      </c>
      <c r="K110" s="81" t="e">
        <f t="shared" si="11"/>
        <v>#REF!</v>
      </c>
      <c r="L110" s="82"/>
      <c r="M110" s="83" t="e">
        <f>#REF!+#REF!+#REF!+#REF!</f>
        <v>#REF!</v>
      </c>
      <c r="N110" s="82"/>
      <c r="O110" s="83" t="e">
        <f>#REF!+#REF!+#REF!+#REF!</f>
        <v>#REF!</v>
      </c>
      <c r="P110" s="82"/>
      <c r="Q110" s="83" t="e">
        <f>#REF!+#REF!+#REF!+#REF!</f>
        <v>#REF!</v>
      </c>
      <c r="R110" s="82"/>
      <c r="S110" s="83" t="e">
        <f>#REF!+#REF!+#REF!+#REF!</f>
        <v>#REF!</v>
      </c>
    </row>
    <row r="111" ht="20.25" spans="1:24">
      <c r="A111" s="81" t="s">
        <v>63</v>
      </c>
      <c r="B111" s="81" t="e">
        <f>#REF!</f>
        <v>#REF!</v>
      </c>
      <c r="C111" s="81" t="e">
        <f>#REF!+#REF!+#REF!+#REF!</f>
        <v>#REF!</v>
      </c>
      <c r="D111" s="81" t="e">
        <f>#REF!</f>
        <v>#REF!</v>
      </c>
      <c r="E111" s="81" t="e">
        <f>#REF!+#REF!+#REF!+#REF!</f>
        <v>#REF!</v>
      </c>
      <c r="F111" s="81" t="e">
        <f>#REF!</f>
        <v>#REF!</v>
      </c>
      <c r="G111" s="81" t="e">
        <f>#REF!+#REF!+#REF!+#REF!</f>
        <v>#REF!</v>
      </c>
      <c r="H111" s="81" t="e">
        <f>#REF!</f>
        <v>#REF!</v>
      </c>
      <c r="I111" s="81" t="e">
        <f>#REF!+#REF!+#REF!+#REF!</f>
        <v>#REF!</v>
      </c>
      <c r="J111" s="82" t="e">
        <f t="shared" si="10"/>
        <v>#REF!</v>
      </c>
      <c r="K111" s="81" t="e">
        <f t="shared" si="11"/>
        <v>#REF!</v>
      </c>
      <c r="L111" s="82"/>
      <c r="M111" s="83" t="e">
        <f>#REF!+#REF!+#REF!+#REF!</f>
        <v>#REF!</v>
      </c>
      <c r="N111" s="82"/>
      <c r="O111" s="83" t="e">
        <f>#REF!+#REF!+#REF!+#REF!</f>
        <v>#REF!</v>
      </c>
      <c r="P111" s="82"/>
      <c r="Q111" s="83" t="e">
        <f>#REF!+#REF!+#REF!+#REF!</f>
        <v>#REF!</v>
      </c>
      <c r="R111" s="82"/>
      <c r="S111" s="83" t="e">
        <f>#REF!+#REF!+#REF!+#REF!</f>
        <v>#REF!</v>
      </c>
    </row>
    <row r="112" ht="20.25" spans="1:24">
      <c r="A112" s="81" t="s">
        <v>64</v>
      </c>
      <c r="B112" s="81" t="e">
        <f>#REF!</f>
        <v>#REF!</v>
      </c>
      <c r="C112" s="81" t="e">
        <f>#REF!+#REF!+#REF!+#REF!</f>
        <v>#REF!</v>
      </c>
      <c r="D112" s="81" t="e">
        <f>#REF!</f>
        <v>#REF!</v>
      </c>
      <c r="E112" s="81" t="e">
        <f>#REF!+#REF!+#REF!+#REF!</f>
        <v>#REF!</v>
      </c>
      <c r="F112" s="81" t="e">
        <f>#REF!</f>
        <v>#REF!</v>
      </c>
      <c r="G112" s="81" t="e">
        <f>#REF!+#REF!+#REF!+#REF!</f>
        <v>#REF!</v>
      </c>
      <c r="H112" s="81" t="e">
        <f>#REF!</f>
        <v>#REF!</v>
      </c>
      <c r="I112" s="81" t="e">
        <f>#REF!+#REF!+#REF!+#REF!</f>
        <v>#REF!</v>
      </c>
      <c r="J112" s="82" t="e">
        <f t="shared" si="10"/>
        <v>#REF!</v>
      </c>
      <c r="K112" s="81" t="e">
        <f t="shared" si="11"/>
        <v>#REF!</v>
      </c>
      <c r="L112" s="82"/>
      <c r="M112" s="83" t="e">
        <f>#REF!+#REF!+#REF!+#REF!</f>
        <v>#REF!</v>
      </c>
      <c r="N112" s="82"/>
      <c r="O112" s="83" t="e">
        <f>#REF!+#REF!+#REF!+#REF!</f>
        <v>#REF!</v>
      </c>
      <c r="P112" s="82"/>
      <c r="Q112" s="83" t="e">
        <f>#REF!+#REF!+#REF!+#REF!</f>
        <v>#REF!</v>
      </c>
      <c r="R112" s="82"/>
      <c r="S112" s="83" t="e">
        <f>#REF!+#REF!+#REF!+#REF!</f>
        <v>#REF!</v>
      </c>
    </row>
    <row r="113" ht="20.25" spans="1:24">
      <c r="A113" s="81" t="s">
        <v>65</v>
      </c>
      <c r="B113" s="81" t="e">
        <f>#REF!</f>
        <v>#REF!</v>
      </c>
      <c r="C113" s="81" t="e">
        <f>#REF!+#REF!+#REF!+#REF!</f>
        <v>#REF!</v>
      </c>
      <c r="D113" s="81" t="e">
        <f>#REF!</f>
        <v>#REF!</v>
      </c>
      <c r="E113" s="81" t="e">
        <f>#REF!+#REF!+#REF!+#REF!</f>
        <v>#REF!</v>
      </c>
      <c r="F113" s="81" t="e">
        <f>#REF!</f>
        <v>#REF!</v>
      </c>
      <c r="G113" s="81" t="e">
        <f>#REF!+#REF!+#REF!+#REF!</f>
        <v>#REF!</v>
      </c>
      <c r="H113" s="81" t="e">
        <f>#REF!</f>
        <v>#REF!</v>
      </c>
      <c r="I113" s="81" t="e">
        <f>#REF!+#REF!+#REF!+#REF!</f>
        <v>#REF!</v>
      </c>
      <c r="J113" s="82" t="e">
        <f t="shared" si="10"/>
        <v>#REF!</v>
      </c>
      <c r="K113" s="81" t="e">
        <f t="shared" si="11"/>
        <v>#REF!</v>
      </c>
      <c r="L113" s="82"/>
      <c r="M113" s="83" t="e">
        <f>#REF!+#REF!+#REF!+#REF!</f>
        <v>#REF!</v>
      </c>
      <c r="N113" s="82"/>
      <c r="O113" s="83" t="e">
        <f>#REF!+#REF!+#REF!+#REF!</f>
        <v>#REF!</v>
      </c>
      <c r="P113" s="82"/>
      <c r="Q113" s="83" t="e">
        <f>#REF!+#REF!+#REF!+#REF!</f>
        <v>#REF!</v>
      </c>
      <c r="R113" s="82"/>
      <c r="S113" s="83" t="e">
        <f>#REF!+#REF!+#REF!+#REF!</f>
        <v>#REF!</v>
      </c>
    </row>
    <row r="115" ht="20.25" spans="1:24">
      <c r="A115" s="81" t="s">
        <v>66</v>
      </c>
      <c r="B115" s="81" t="s">
        <v>77</v>
      </c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</row>
    <row r="116" ht="20.25" spans="1:24">
      <c r="A116" s="81" t="s">
        <v>37</v>
      </c>
      <c r="B116" s="81" t="s">
        <v>38</v>
      </c>
      <c r="C116" s="81"/>
      <c r="D116" s="78" t="s">
        <v>39</v>
      </c>
      <c r="E116" s="80"/>
      <c r="F116" s="81" t="s">
        <v>40</v>
      </c>
      <c r="G116" s="81"/>
      <c r="H116" s="81" t="s">
        <v>41</v>
      </c>
      <c r="I116" s="81"/>
      <c r="J116" s="81" t="s">
        <v>42</v>
      </c>
      <c r="K116" s="81"/>
      <c r="L116" s="81" t="s">
        <v>43</v>
      </c>
      <c r="M116" s="81"/>
      <c r="N116" s="81" t="s">
        <v>44</v>
      </c>
      <c r="O116" s="81"/>
      <c r="P116" s="81" t="s">
        <v>45</v>
      </c>
      <c r="Q116" s="81"/>
      <c r="R116" s="81" t="s">
        <v>46</v>
      </c>
      <c r="S116" s="81"/>
    </row>
    <row r="117" ht="20.25" spans="1:24">
      <c r="A117" s="81" t="s">
        <v>27</v>
      </c>
      <c r="B117" s="81" t="s">
        <v>47</v>
      </c>
      <c r="C117" s="81" t="s">
        <v>48</v>
      </c>
      <c r="D117" s="81" t="s">
        <v>47</v>
      </c>
      <c r="E117" s="81" t="s">
        <v>48</v>
      </c>
      <c r="F117" s="81" t="s">
        <v>47</v>
      </c>
      <c r="G117" s="81" t="s">
        <v>48</v>
      </c>
      <c r="H117" s="81" t="s">
        <v>47</v>
      </c>
      <c r="I117" s="81" t="s">
        <v>48</v>
      </c>
      <c r="J117" s="81" t="s">
        <v>49</v>
      </c>
      <c r="K117" s="81" t="s">
        <v>48</v>
      </c>
      <c r="L117" s="81" t="s">
        <v>47</v>
      </c>
      <c r="M117" s="81" t="s">
        <v>48</v>
      </c>
      <c r="N117" s="81" t="s">
        <v>47</v>
      </c>
      <c r="O117" s="81" t="s">
        <v>48</v>
      </c>
      <c r="P117" s="81" t="s">
        <v>47</v>
      </c>
      <c r="Q117" s="81" t="s">
        <v>48</v>
      </c>
      <c r="R117" s="81" t="s">
        <v>47</v>
      </c>
      <c r="S117" s="81" t="s">
        <v>48</v>
      </c>
    </row>
    <row r="118" ht="20.25" spans="1:24">
      <c r="A118" s="81" t="s">
        <v>50</v>
      </c>
      <c r="B118" s="81" t="e">
        <f>#REF!</f>
        <v>#REF!</v>
      </c>
      <c r="C118" s="81" t="e">
        <f>#REF!+#REF!+#REF!+#REF!</f>
        <v>#REF!</v>
      </c>
      <c r="D118" s="81" t="e">
        <f>#REF!</f>
        <v>#REF!</v>
      </c>
      <c r="E118" s="81" t="e">
        <f>#REF!+#REF!+#REF!+#REF!</f>
        <v>#REF!</v>
      </c>
      <c r="F118" s="81" t="e">
        <f>#REF!</f>
        <v>#REF!</v>
      </c>
      <c r="G118" s="81" t="e">
        <f>#REF!+#REF!+#REF!+#REF!</f>
        <v>#REF!</v>
      </c>
      <c r="H118" s="81" t="e">
        <f>#REF!</f>
        <v>#REF!</v>
      </c>
      <c r="I118" s="81" t="e">
        <f>#REF!+#REF!+#REF!+#REF!</f>
        <v>#REF!</v>
      </c>
      <c r="J118" s="82" t="e">
        <f>K118/SUM($K$118:$K$132)</f>
        <v>#REF!</v>
      </c>
      <c r="K118" s="81" t="e">
        <f>C118+E118+G118+I118</f>
        <v>#REF!</v>
      </c>
      <c r="L118" s="82"/>
      <c r="M118" s="83" t="e">
        <f>#REF!+#REF!+#REF!+#REF!</f>
        <v>#REF!</v>
      </c>
      <c r="N118" s="82"/>
      <c r="O118" s="83" t="e">
        <f>#REF!+#REF!+#REF!+#REF!</f>
        <v>#REF!</v>
      </c>
      <c r="P118" s="82"/>
      <c r="Q118" s="83" t="e">
        <f>#REF!+#REF!+#REF!+#REF!</f>
        <v>#REF!</v>
      </c>
      <c r="R118" s="82"/>
      <c r="S118" s="83" t="e">
        <f>#REF!+#REF!+#REF!+#REF!</f>
        <v>#REF!</v>
      </c>
      <c r="X118" s="84" t="s">
        <v>78</v>
      </c>
    </row>
    <row r="119" ht="20.25" spans="1:24">
      <c r="A119" s="81" t="s">
        <v>52</v>
      </c>
      <c r="B119" s="81" t="e">
        <f>#REF!</f>
        <v>#REF!</v>
      </c>
      <c r="C119" s="81" t="e">
        <f>#REF!+#REF!+#REF!+#REF!</f>
        <v>#REF!</v>
      </c>
      <c r="D119" s="81" t="e">
        <f>#REF!</f>
        <v>#REF!</v>
      </c>
      <c r="E119" s="81" t="e">
        <f>#REF!+#REF!+#REF!+#REF!</f>
        <v>#REF!</v>
      </c>
      <c r="F119" s="81" t="e">
        <f>#REF!</f>
        <v>#REF!</v>
      </c>
      <c r="G119" s="81" t="e">
        <f>#REF!+#REF!+#REF!+#REF!</f>
        <v>#REF!</v>
      </c>
      <c r="H119" s="81" t="e">
        <f>#REF!</f>
        <v>#REF!</v>
      </c>
      <c r="I119" s="81" t="e">
        <f>#REF!+#REF!+#REF!+#REF!</f>
        <v>#REF!</v>
      </c>
      <c r="J119" s="82" t="e">
        <f t="shared" ref="J119:J132" si="12">K119/SUM($K$118:$K$132)</f>
        <v>#REF!</v>
      </c>
      <c r="K119" s="81" t="e">
        <f t="shared" ref="K119:K132" si="13">C119+E119+G119+I119</f>
        <v>#REF!</v>
      </c>
      <c r="L119" s="82"/>
      <c r="M119" s="83" t="e">
        <f>#REF!+#REF!+#REF!+#REF!</f>
        <v>#REF!</v>
      </c>
      <c r="N119" s="82"/>
      <c r="O119" s="83" t="e">
        <f>#REF!+#REF!+#REF!+#REF!</f>
        <v>#REF!</v>
      </c>
      <c r="P119" s="82"/>
      <c r="Q119" s="83" t="e">
        <f>#REF!+#REF!+#REF!+#REF!</f>
        <v>#REF!</v>
      </c>
      <c r="R119" s="82"/>
      <c r="S119" s="83" t="e">
        <f>#REF!+#REF!+#REF!+#REF!</f>
        <v>#REF!</v>
      </c>
    </row>
    <row r="120" ht="20.25" spans="1:24">
      <c r="A120" s="81" t="s">
        <v>53</v>
      </c>
      <c r="B120" s="81" t="e">
        <f>#REF!</f>
        <v>#REF!</v>
      </c>
      <c r="C120" s="81" t="e">
        <f>#REF!+#REF!+#REF!+#REF!</f>
        <v>#REF!</v>
      </c>
      <c r="D120" s="81" t="e">
        <f>#REF!</f>
        <v>#REF!</v>
      </c>
      <c r="E120" s="81" t="e">
        <f>#REF!+#REF!+#REF!+#REF!</f>
        <v>#REF!</v>
      </c>
      <c r="F120" s="81" t="e">
        <f>#REF!</f>
        <v>#REF!</v>
      </c>
      <c r="G120" s="81" t="e">
        <f>#REF!+#REF!+#REF!+#REF!</f>
        <v>#REF!</v>
      </c>
      <c r="H120" s="81" t="e">
        <f>#REF!</f>
        <v>#REF!</v>
      </c>
      <c r="I120" s="81" t="e">
        <f>#REF!+#REF!+#REF!+#REF!</f>
        <v>#REF!</v>
      </c>
      <c r="J120" s="82" t="e">
        <f t="shared" si="12"/>
        <v>#REF!</v>
      </c>
      <c r="K120" s="81" t="e">
        <f t="shared" si="13"/>
        <v>#REF!</v>
      </c>
      <c r="L120" s="82"/>
      <c r="M120" s="83" t="e">
        <f>#REF!+#REF!+#REF!+#REF!</f>
        <v>#REF!</v>
      </c>
      <c r="N120" s="82"/>
      <c r="O120" s="83" t="e">
        <f>#REF!+#REF!+#REF!+#REF!</f>
        <v>#REF!</v>
      </c>
      <c r="P120" s="82"/>
      <c r="Q120" s="83" t="e">
        <f>#REF!+#REF!+#REF!+#REF!</f>
        <v>#REF!</v>
      </c>
      <c r="R120" s="82"/>
      <c r="S120" s="83" t="e">
        <f>#REF!+#REF!+#REF!+#REF!</f>
        <v>#REF!</v>
      </c>
    </row>
    <row r="121" ht="20.25" spans="1:24">
      <c r="A121" s="81" t="s">
        <v>54</v>
      </c>
      <c r="B121" s="81" t="e">
        <f>#REF!</f>
        <v>#REF!</v>
      </c>
      <c r="C121" s="81" t="e">
        <f>#REF!+#REF!+#REF!+#REF!</f>
        <v>#REF!</v>
      </c>
      <c r="D121" s="81" t="e">
        <f>#REF!</f>
        <v>#REF!</v>
      </c>
      <c r="E121" s="81" t="e">
        <f>#REF!+#REF!+#REF!+#REF!</f>
        <v>#REF!</v>
      </c>
      <c r="F121" s="81" t="e">
        <f>#REF!</f>
        <v>#REF!</v>
      </c>
      <c r="G121" s="81" t="e">
        <f>#REF!+#REF!+#REF!+#REF!</f>
        <v>#REF!</v>
      </c>
      <c r="H121" s="81" t="e">
        <f>#REF!</f>
        <v>#REF!</v>
      </c>
      <c r="I121" s="81" t="e">
        <f>#REF!+#REF!+#REF!+#REF!</f>
        <v>#REF!</v>
      </c>
      <c r="J121" s="82" t="e">
        <f t="shared" si="12"/>
        <v>#REF!</v>
      </c>
      <c r="K121" s="81" t="e">
        <f t="shared" si="13"/>
        <v>#REF!</v>
      </c>
      <c r="L121" s="82"/>
      <c r="M121" s="83" t="e">
        <f>#REF!+#REF!+#REF!+#REF!</f>
        <v>#REF!</v>
      </c>
      <c r="N121" s="82"/>
      <c r="O121" s="83" t="e">
        <f>#REF!+#REF!+#REF!+#REF!</f>
        <v>#REF!</v>
      </c>
      <c r="P121" s="82"/>
      <c r="Q121" s="83" t="e">
        <f>#REF!+#REF!+#REF!+#REF!</f>
        <v>#REF!</v>
      </c>
      <c r="R121" s="82"/>
      <c r="S121" s="83" t="e">
        <f>#REF!+#REF!+#REF!+#REF!</f>
        <v>#REF!</v>
      </c>
    </row>
    <row r="122" ht="20.25" spans="1:24">
      <c r="A122" s="81" t="s">
        <v>55</v>
      </c>
      <c r="B122" s="81" t="e">
        <f>#REF!</f>
        <v>#REF!</v>
      </c>
      <c r="C122" s="81" t="e">
        <f>#REF!+#REF!+#REF!+#REF!</f>
        <v>#REF!</v>
      </c>
      <c r="D122" s="81" t="e">
        <f>#REF!</f>
        <v>#REF!</v>
      </c>
      <c r="E122" s="81" t="e">
        <f>#REF!+#REF!+#REF!+#REF!</f>
        <v>#REF!</v>
      </c>
      <c r="F122" s="81" t="e">
        <f>#REF!</f>
        <v>#REF!</v>
      </c>
      <c r="G122" s="81" t="e">
        <f>#REF!+#REF!+#REF!+#REF!</f>
        <v>#REF!</v>
      </c>
      <c r="H122" s="81" t="e">
        <f>#REF!</f>
        <v>#REF!</v>
      </c>
      <c r="I122" s="81" t="e">
        <f>#REF!+#REF!+#REF!+#REF!</f>
        <v>#REF!</v>
      </c>
      <c r="J122" s="82" t="e">
        <f t="shared" si="12"/>
        <v>#REF!</v>
      </c>
      <c r="K122" s="81" t="e">
        <f t="shared" si="13"/>
        <v>#REF!</v>
      </c>
      <c r="L122" s="82"/>
      <c r="M122" s="83" t="e">
        <f>#REF!+#REF!+#REF!+#REF!</f>
        <v>#REF!</v>
      </c>
      <c r="N122" s="82"/>
      <c r="O122" s="83" t="e">
        <f>#REF!+#REF!+#REF!+#REF!</f>
        <v>#REF!</v>
      </c>
      <c r="P122" s="82"/>
      <c r="Q122" s="83" t="e">
        <f>#REF!+#REF!+#REF!+#REF!</f>
        <v>#REF!</v>
      </c>
      <c r="R122" s="82"/>
      <c r="S122" s="83" t="e">
        <f>#REF!+#REF!+#REF!+#REF!</f>
        <v>#REF!</v>
      </c>
    </row>
    <row r="123" ht="20.25" spans="1:24">
      <c r="A123" s="81" t="s">
        <v>56</v>
      </c>
      <c r="B123" s="81" t="e">
        <f>#REF!</f>
        <v>#REF!</v>
      </c>
      <c r="C123" s="81" t="e">
        <f>#REF!+#REF!+#REF!+#REF!</f>
        <v>#REF!</v>
      </c>
      <c r="D123" s="81" t="e">
        <f>#REF!</f>
        <v>#REF!</v>
      </c>
      <c r="E123" s="81" t="e">
        <f>#REF!+#REF!+#REF!+#REF!</f>
        <v>#REF!</v>
      </c>
      <c r="F123" s="81" t="e">
        <f>#REF!</f>
        <v>#REF!</v>
      </c>
      <c r="G123" s="81" t="e">
        <f>#REF!+#REF!+#REF!+#REF!</f>
        <v>#REF!</v>
      </c>
      <c r="H123" s="81" t="e">
        <f>#REF!</f>
        <v>#REF!</v>
      </c>
      <c r="I123" s="81" t="e">
        <f>#REF!+#REF!+#REF!+#REF!</f>
        <v>#REF!</v>
      </c>
      <c r="J123" s="82" t="e">
        <f t="shared" si="12"/>
        <v>#REF!</v>
      </c>
      <c r="K123" s="81" t="e">
        <f t="shared" si="13"/>
        <v>#REF!</v>
      </c>
      <c r="L123" s="82"/>
      <c r="M123" s="83" t="e">
        <f>#REF!+#REF!+#REF!+#REF!</f>
        <v>#REF!</v>
      </c>
      <c r="N123" s="82"/>
      <c r="O123" s="83" t="e">
        <f>#REF!+#REF!+#REF!+#REF!</f>
        <v>#REF!</v>
      </c>
      <c r="P123" s="82"/>
      <c r="Q123" s="83" t="e">
        <f>#REF!+#REF!+#REF!+#REF!</f>
        <v>#REF!</v>
      </c>
      <c r="R123" s="82"/>
      <c r="S123" s="83" t="e">
        <f>#REF!+#REF!+#REF!+#REF!</f>
        <v>#REF!</v>
      </c>
    </row>
    <row r="124" ht="20.25" spans="1:24">
      <c r="A124" s="81" t="s">
        <v>57</v>
      </c>
      <c r="B124" s="81" t="e">
        <f>#REF!</f>
        <v>#REF!</v>
      </c>
      <c r="C124" s="81" t="e">
        <f>#REF!+#REF!+#REF!+#REF!</f>
        <v>#REF!</v>
      </c>
      <c r="D124" s="81" t="e">
        <f>#REF!</f>
        <v>#REF!</v>
      </c>
      <c r="E124" s="81" t="e">
        <f>#REF!+#REF!+#REF!+#REF!</f>
        <v>#REF!</v>
      </c>
      <c r="F124" s="81" t="e">
        <f>#REF!</f>
        <v>#REF!</v>
      </c>
      <c r="G124" s="81" t="e">
        <f>#REF!+#REF!+#REF!+#REF!</f>
        <v>#REF!</v>
      </c>
      <c r="H124" s="81" t="e">
        <f>#REF!</f>
        <v>#REF!</v>
      </c>
      <c r="I124" s="81" t="e">
        <f>#REF!+#REF!+#REF!+#REF!</f>
        <v>#REF!</v>
      </c>
      <c r="J124" s="82" t="e">
        <f t="shared" si="12"/>
        <v>#REF!</v>
      </c>
      <c r="K124" s="81" t="e">
        <f t="shared" si="13"/>
        <v>#REF!</v>
      </c>
      <c r="L124" s="82"/>
      <c r="M124" s="83" t="e">
        <f>#REF!+#REF!+#REF!+#REF!</f>
        <v>#REF!</v>
      </c>
      <c r="N124" s="82"/>
      <c r="O124" s="83" t="e">
        <f>#REF!+#REF!+#REF!+#REF!</f>
        <v>#REF!</v>
      </c>
      <c r="P124" s="82"/>
      <c r="Q124" s="83" t="e">
        <f>#REF!+#REF!+#REF!+#REF!</f>
        <v>#REF!</v>
      </c>
      <c r="R124" s="82"/>
      <c r="S124" s="83" t="e">
        <f>#REF!+#REF!+#REF!+#REF!</f>
        <v>#REF!</v>
      </c>
    </row>
    <row r="125" ht="20.25" spans="1:24">
      <c r="A125" s="81" t="s">
        <v>58</v>
      </c>
      <c r="B125" s="81" t="e">
        <f>#REF!</f>
        <v>#REF!</v>
      </c>
      <c r="C125" s="81" t="e">
        <f>#REF!+#REF!+#REF!+#REF!</f>
        <v>#REF!</v>
      </c>
      <c r="D125" s="81" t="e">
        <f>#REF!</f>
        <v>#REF!</v>
      </c>
      <c r="E125" s="81" t="e">
        <f>#REF!+#REF!+#REF!+#REF!</f>
        <v>#REF!</v>
      </c>
      <c r="F125" s="81" t="e">
        <f>#REF!</f>
        <v>#REF!</v>
      </c>
      <c r="G125" s="81" t="e">
        <f>#REF!+#REF!+#REF!+#REF!</f>
        <v>#REF!</v>
      </c>
      <c r="H125" s="81" t="e">
        <f>#REF!</f>
        <v>#REF!</v>
      </c>
      <c r="I125" s="81" t="e">
        <f>#REF!+#REF!+#REF!+#REF!</f>
        <v>#REF!</v>
      </c>
      <c r="J125" s="82" t="e">
        <f t="shared" si="12"/>
        <v>#REF!</v>
      </c>
      <c r="K125" s="81" t="e">
        <f t="shared" si="13"/>
        <v>#REF!</v>
      </c>
      <c r="L125" s="82"/>
      <c r="M125" s="83" t="e">
        <f>#REF!+#REF!+#REF!+#REF!</f>
        <v>#REF!</v>
      </c>
      <c r="N125" s="82"/>
      <c r="O125" s="83" t="e">
        <f>#REF!+#REF!+#REF!+#REF!</f>
        <v>#REF!</v>
      </c>
      <c r="P125" s="82"/>
      <c r="Q125" s="83" t="e">
        <f>#REF!+#REF!+#REF!+#REF!</f>
        <v>#REF!</v>
      </c>
      <c r="R125" s="82"/>
      <c r="S125" s="83" t="e">
        <f>#REF!+#REF!+#REF!+#REF!</f>
        <v>#REF!</v>
      </c>
    </row>
    <row r="126" ht="20.25" spans="1:24">
      <c r="A126" s="81" t="s">
        <v>59</v>
      </c>
      <c r="B126" s="81" t="e">
        <f>#REF!</f>
        <v>#REF!</v>
      </c>
      <c r="C126" s="81" t="e">
        <f>#REF!+#REF!+#REF!+#REF!</f>
        <v>#REF!</v>
      </c>
      <c r="D126" s="81" t="e">
        <f>#REF!</f>
        <v>#REF!</v>
      </c>
      <c r="E126" s="81" t="e">
        <f>#REF!+#REF!+#REF!+#REF!</f>
        <v>#REF!</v>
      </c>
      <c r="F126" s="81" t="e">
        <f>#REF!</f>
        <v>#REF!</v>
      </c>
      <c r="G126" s="81" t="e">
        <f>#REF!+#REF!+#REF!+#REF!</f>
        <v>#REF!</v>
      </c>
      <c r="H126" s="81" t="e">
        <f>#REF!</f>
        <v>#REF!</v>
      </c>
      <c r="I126" s="81" t="e">
        <f>#REF!+#REF!+#REF!+#REF!</f>
        <v>#REF!</v>
      </c>
      <c r="J126" s="82" t="e">
        <f t="shared" si="12"/>
        <v>#REF!</v>
      </c>
      <c r="K126" s="81" t="e">
        <f t="shared" si="13"/>
        <v>#REF!</v>
      </c>
      <c r="L126" s="82"/>
      <c r="M126" s="83" t="e">
        <f>#REF!+#REF!+#REF!+#REF!</f>
        <v>#REF!</v>
      </c>
      <c r="N126" s="82"/>
      <c r="O126" s="83" t="e">
        <f>#REF!+#REF!+#REF!+#REF!</f>
        <v>#REF!</v>
      </c>
      <c r="P126" s="82"/>
      <c r="Q126" s="83" t="e">
        <f>#REF!+#REF!+#REF!+#REF!</f>
        <v>#REF!</v>
      </c>
      <c r="R126" s="82"/>
      <c r="S126" s="83" t="e">
        <f>#REF!+#REF!+#REF!+#REF!</f>
        <v>#REF!</v>
      </c>
    </row>
    <row r="127" ht="20.25" spans="1:24">
      <c r="A127" s="81" t="s">
        <v>60</v>
      </c>
      <c r="B127" s="81" t="e">
        <f>#REF!</f>
        <v>#REF!</v>
      </c>
      <c r="C127" s="81" t="e">
        <f>#REF!+#REF!+#REF!+#REF!</f>
        <v>#REF!</v>
      </c>
      <c r="D127" s="81" t="e">
        <f>#REF!</f>
        <v>#REF!</v>
      </c>
      <c r="E127" s="81" t="e">
        <f>#REF!+#REF!+#REF!+#REF!</f>
        <v>#REF!</v>
      </c>
      <c r="F127" s="81" t="e">
        <f>#REF!</f>
        <v>#REF!</v>
      </c>
      <c r="G127" s="81" t="e">
        <f>#REF!+#REF!+#REF!+#REF!</f>
        <v>#REF!</v>
      </c>
      <c r="H127" s="81" t="e">
        <f>#REF!</f>
        <v>#REF!</v>
      </c>
      <c r="I127" s="81" t="e">
        <f>#REF!+#REF!+#REF!+#REF!</f>
        <v>#REF!</v>
      </c>
      <c r="J127" s="82" t="e">
        <f t="shared" si="12"/>
        <v>#REF!</v>
      </c>
      <c r="K127" s="81" t="e">
        <f t="shared" si="13"/>
        <v>#REF!</v>
      </c>
      <c r="L127" s="82"/>
      <c r="M127" s="83" t="e">
        <f>#REF!+#REF!+#REF!+#REF!</f>
        <v>#REF!</v>
      </c>
      <c r="N127" s="82"/>
      <c r="O127" s="83" t="e">
        <f>#REF!+#REF!+#REF!+#REF!</f>
        <v>#REF!</v>
      </c>
      <c r="P127" s="82"/>
      <c r="Q127" s="83" t="e">
        <f>#REF!+#REF!+#REF!+#REF!</f>
        <v>#REF!</v>
      </c>
      <c r="R127" s="82"/>
      <c r="S127" s="83" t="e">
        <f>#REF!+#REF!+#REF!+#REF!</f>
        <v>#REF!</v>
      </c>
    </row>
    <row r="128" ht="20.25" spans="1:24">
      <c r="A128" s="81" t="s">
        <v>61</v>
      </c>
      <c r="B128" s="81" t="e">
        <f>#REF!</f>
        <v>#REF!</v>
      </c>
      <c r="C128" s="81" t="e">
        <f>#REF!+#REF!+#REF!+#REF!</f>
        <v>#REF!</v>
      </c>
      <c r="D128" s="81" t="e">
        <f>#REF!</f>
        <v>#REF!</v>
      </c>
      <c r="E128" s="81" t="e">
        <f>#REF!+#REF!+#REF!+#REF!</f>
        <v>#REF!</v>
      </c>
      <c r="F128" s="81" t="e">
        <f>#REF!</f>
        <v>#REF!</v>
      </c>
      <c r="G128" s="81" t="e">
        <f>#REF!+#REF!+#REF!+#REF!</f>
        <v>#REF!</v>
      </c>
      <c r="H128" s="81" t="e">
        <f>#REF!</f>
        <v>#REF!</v>
      </c>
      <c r="I128" s="81" t="e">
        <f>#REF!+#REF!+#REF!+#REF!</f>
        <v>#REF!</v>
      </c>
      <c r="J128" s="82" t="e">
        <f t="shared" si="12"/>
        <v>#REF!</v>
      </c>
      <c r="K128" s="81" t="e">
        <f t="shared" si="13"/>
        <v>#REF!</v>
      </c>
      <c r="L128" s="82"/>
      <c r="M128" s="83" t="e">
        <f>#REF!+#REF!+#REF!+#REF!</f>
        <v>#REF!</v>
      </c>
      <c r="N128" s="82"/>
      <c r="O128" s="83" t="e">
        <f>#REF!+#REF!+#REF!+#REF!</f>
        <v>#REF!</v>
      </c>
      <c r="P128" s="82"/>
      <c r="Q128" s="83" t="e">
        <f>#REF!+#REF!+#REF!+#REF!</f>
        <v>#REF!</v>
      </c>
      <c r="R128" s="82"/>
      <c r="S128" s="83" t="e">
        <f>#REF!+#REF!+#REF!+#REF!</f>
        <v>#REF!</v>
      </c>
    </row>
    <row r="129" ht="20.25" spans="1:24">
      <c r="A129" s="81" t="s">
        <v>62</v>
      </c>
      <c r="B129" s="81" t="e">
        <f>#REF!</f>
        <v>#REF!</v>
      </c>
      <c r="C129" s="81" t="e">
        <f>#REF!+#REF!+#REF!+#REF!</f>
        <v>#REF!</v>
      </c>
      <c r="D129" s="81" t="e">
        <f>#REF!</f>
        <v>#REF!</v>
      </c>
      <c r="E129" s="81" t="e">
        <f>#REF!+#REF!+#REF!+#REF!</f>
        <v>#REF!</v>
      </c>
      <c r="F129" s="81" t="e">
        <f>#REF!</f>
        <v>#REF!</v>
      </c>
      <c r="G129" s="81" t="e">
        <f>#REF!+#REF!+#REF!+#REF!</f>
        <v>#REF!</v>
      </c>
      <c r="H129" s="81" t="e">
        <f>#REF!</f>
        <v>#REF!</v>
      </c>
      <c r="I129" s="81" t="e">
        <f>#REF!+#REF!+#REF!+#REF!</f>
        <v>#REF!</v>
      </c>
      <c r="J129" s="82" t="e">
        <f t="shared" si="12"/>
        <v>#REF!</v>
      </c>
      <c r="K129" s="81" t="e">
        <f t="shared" si="13"/>
        <v>#REF!</v>
      </c>
      <c r="L129" s="82"/>
      <c r="M129" s="83" t="e">
        <f>#REF!+#REF!+#REF!+#REF!</f>
        <v>#REF!</v>
      </c>
      <c r="N129" s="82"/>
      <c r="O129" s="83" t="e">
        <f>#REF!+#REF!+#REF!+#REF!</f>
        <v>#REF!</v>
      </c>
      <c r="P129" s="82"/>
      <c r="Q129" s="83" t="e">
        <f>#REF!+#REF!+#REF!+#REF!</f>
        <v>#REF!</v>
      </c>
      <c r="R129" s="82"/>
      <c r="S129" s="83" t="e">
        <f>#REF!+#REF!+#REF!+#REF!</f>
        <v>#REF!</v>
      </c>
    </row>
    <row r="130" ht="20.25" spans="1:24">
      <c r="A130" s="81" t="s">
        <v>63</v>
      </c>
      <c r="B130" s="81" t="e">
        <f>#REF!</f>
        <v>#REF!</v>
      </c>
      <c r="C130" s="81" t="e">
        <f>#REF!+#REF!+#REF!+#REF!</f>
        <v>#REF!</v>
      </c>
      <c r="D130" s="81" t="e">
        <f>#REF!</f>
        <v>#REF!</v>
      </c>
      <c r="E130" s="81" t="e">
        <f>#REF!+#REF!+#REF!+#REF!</f>
        <v>#REF!</v>
      </c>
      <c r="F130" s="81" t="e">
        <f>#REF!</f>
        <v>#REF!</v>
      </c>
      <c r="G130" s="81" t="e">
        <f>#REF!+#REF!+#REF!+#REF!</f>
        <v>#REF!</v>
      </c>
      <c r="H130" s="81" t="e">
        <f>#REF!</f>
        <v>#REF!</v>
      </c>
      <c r="I130" s="81" t="e">
        <f>#REF!+#REF!+#REF!+#REF!</f>
        <v>#REF!</v>
      </c>
      <c r="J130" s="82" t="e">
        <f t="shared" si="12"/>
        <v>#REF!</v>
      </c>
      <c r="K130" s="81" t="e">
        <f t="shared" si="13"/>
        <v>#REF!</v>
      </c>
      <c r="L130" s="82"/>
      <c r="M130" s="83" t="e">
        <f>#REF!+#REF!+#REF!+#REF!</f>
        <v>#REF!</v>
      </c>
      <c r="N130" s="82"/>
      <c r="O130" s="83" t="e">
        <f>#REF!+#REF!+#REF!+#REF!</f>
        <v>#REF!</v>
      </c>
      <c r="P130" s="82"/>
      <c r="Q130" s="83" t="e">
        <f>#REF!+#REF!+#REF!+#REF!</f>
        <v>#REF!</v>
      </c>
      <c r="R130" s="82"/>
      <c r="S130" s="83" t="e">
        <f>#REF!+#REF!+#REF!+#REF!</f>
        <v>#REF!</v>
      </c>
    </row>
    <row r="131" ht="20.25" spans="1:24">
      <c r="A131" s="81" t="s">
        <v>64</v>
      </c>
      <c r="B131" s="81" t="e">
        <f>#REF!</f>
        <v>#REF!</v>
      </c>
      <c r="C131" s="81" t="e">
        <f>#REF!+#REF!+#REF!+#REF!</f>
        <v>#REF!</v>
      </c>
      <c r="D131" s="81" t="e">
        <f>#REF!</f>
        <v>#REF!</v>
      </c>
      <c r="E131" s="81" t="e">
        <f>#REF!+#REF!+#REF!+#REF!</f>
        <v>#REF!</v>
      </c>
      <c r="F131" s="81" t="e">
        <f>#REF!</f>
        <v>#REF!</v>
      </c>
      <c r="G131" s="81" t="e">
        <f>#REF!+#REF!+#REF!+#REF!</f>
        <v>#REF!</v>
      </c>
      <c r="H131" s="81" t="e">
        <f>#REF!</f>
        <v>#REF!</v>
      </c>
      <c r="I131" s="81" t="e">
        <f>#REF!+#REF!+#REF!+#REF!</f>
        <v>#REF!</v>
      </c>
      <c r="J131" s="82" t="e">
        <f t="shared" si="12"/>
        <v>#REF!</v>
      </c>
      <c r="K131" s="81" t="e">
        <f t="shared" si="13"/>
        <v>#REF!</v>
      </c>
      <c r="L131" s="82"/>
      <c r="M131" s="83" t="e">
        <f>#REF!+#REF!+#REF!+#REF!</f>
        <v>#REF!</v>
      </c>
      <c r="N131" s="82"/>
      <c r="O131" s="83" t="e">
        <f>#REF!+#REF!+#REF!+#REF!</f>
        <v>#REF!</v>
      </c>
      <c r="P131" s="82"/>
      <c r="Q131" s="83" t="e">
        <f>#REF!+#REF!+#REF!+#REF!</f>
        <v>#REF!</v>
      </c>
      <c r="R131" s="82"/>
      <c r="S131" s="83" t="e">
        <f>#REF!+#REF!+#REF!+#REF!</f>
        <v>#REF!</v>
      </c>
    </row>
    <row r="132" ht="20.25" spans="1:24">
      <c r="A132" s="81" t="s">
        <v>65</v>
      </c>
      <c r="B132" s="81" t="e">
        <f>#REF!</f>
        <v>#REF!</v>
      </c>
      <c r="C132" s="81" t="e">
        <f>#REF!+#REF!+#REF!+#REF!</f>
        <v>#REF!</v>
      </c>
      <c r="D132" s="81" t="e">
        <f>#REF!</f>
        <v>#REF!</v>
      </c>
      <c r="E132" s="81" t="e">
        <f>#REF!+#REF!+#REF!+#REF!</f>
        <v>#REF!</v>
      </c>
      <c r="F132" s="81" t="e">
        <f>#REF!</f>
        <v>#REF!</v>
      </c>
      <c r="G132" s="81" t="e">
        <f>#REF!+#REF!+#REF!+#REF!</f>
        <v>#REF!</v>
      </c>
      <c r="H132" s="81" t="e">
        <f>#REF!</f>
        <v>#REF!</v>
      </c>
      <c r="I132" s="81" t="e">
        <f>#REF!+#REF!+#REF!+#REF!</f>
        <v>#REF!</v>
      </c>
      <c r="J132" s="82" t="e">
        <f t="shared" si="12"/>
        <v>#REF!</v>
      </c>
      <c r="K132" s="81" t="e">
        <f t="shared" si="13"/>
        <v>#REF!</v>
      </c>
      <c r="L132" s="82"/>
      <c r="M132" s="83" t="e">
        <f>#REF!+#REF!+#REF!+#REF!</f>
        <v>#REF!</v>
      </c>
      <c r="N132" s="82"/>
      <c r="O132" s="83" t="e">
        <f>#REF!+#REF!+#REF!+#REF!</f>
        <v>#REF!</v>
      </c>
      <c r="P132" s="82"/>
      <c r="Q132" s="83" t="e">
        <f>#REF!+#REF!+#REF!+#REF!</f>
        <v>#REF!</v>
      </c>
      <c r="R132" s="82"/>
      <c r="S132" s="83" t="e">
        <f>#REF!+#REF!+#REF!+#REF!</f>
        <v>#REF!</v>
      </c>
    </row>
    <row r="134" ht="20.25" spans="1:24">
      <c r="A134" s="81" t="s">
        <v>66</v>
      </c>
      <c r="B134" s="81" t="s">
        <v>79</v>
      </c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</row>
    <row r="135" ht="20.25" spans="1:24">
      <c r="A135" s="81" t="s">
        <v>37</v>
      </c>
      <c r="B135" s="81" t="s">
        <v>38</v>
      </c>
      <c r="C135" s="81"/>
      <c r="D135" s="78" t="s">
        <v>39</v>
      </c>
      <c r="E135" s="80"/>
      <c r="F135" s="81" t="s">
        <v>40</v>
      </c>
      <c r="G135" s="81"/>
      <c r="H135" s="81" t="s">
        <v>41</v>
      </c>
      <c r="I135" s="81"/>
      <c r="J135" s="81" t="s">
        <v>42</v>
      </c>
      <c r="K135" s="81"/>
      <c r="L135" s="81" t="s">
        <v>43</v>
      </c>
      <c r="M135" s="81"/>
      <c r="N135" s="81" t="s">
        <v>44</v>
      </c>
      <c r="O135" s="81"/>
      <c r="P135" s="81" t="s">
        <v>45</v>
      </c>
      <c r="Q135" s="81"/>
      <c r="R135" s="81" t="s">
        <v>46</v>
      </c>
      <c r="S135" s="81"/>
    </row>
    <row r="136" ht="20.25" spans="1:24">
      <c r="A136" s="81" t="s">
        <v>27</v>
      </c>
      <c r="B136" s="81" t="s">
        <v>47</v>
      </c>
      <c r="C136" s="81" t="s">
        <v>48</v>
      </c>
      <c r="D136" s="81" t="s">
        <v>47</v>
      </c>
      <c r="E136" s="81" t="s">
        <v>48</v>
      </c>
      <c r="F136" s="81" t="s">
        <v>47</v>
      </c>
      <c r="G136" s="81" t="s">
        <v>48</v>
      </c>
      <c r="H136" s="81" t="s">
        <v>47</v>
      </c>
      <c r="I136" s="81" t="s">
        <v>48</v>
      </c>
      <c r="J136" s="81" t="s">
        <v>49</v>
      </c>
      <c r="K136" s="81" t="s">
        <v>48</v>
      </c>
      <c r="L136" s="81" t="s">
        <v>47</v>
      </c>
      <c r="M136" s="81" t="s">
        <v>48</v>
      </c>
      <c r="N136" s="81" t="s">
        <v>47</v>
      </c>
      <c r="O136" s="81" t="s">
        <v>48</v>
      </c>
      <c r="P136" s="81" t="s">
        <v>47</v>
      </c>
      <c r="Q136" s="81" t="s">
        <v>48</v>
      </c>
      <c r="R136" s="81" t="s">
        <v>47</v>
      </c>
      <c r="S136" s="81" t="s">
        <v>48</v>
      </c>
      <c r="X136" s="84" t="s">
        <v>80</v>
      </c>
    </row>
    <row r="137" ht="20.25" spans="1:24">
      <c r="A137" s="81" t="s">
        <v>50</v>
      </c>
      <c r="B137" s="81" t="e">
        <f>#REF!</f>
        <v>#REF!</v>
      </c>
      <c r="C137" s="81" t="e">
        <f>#REF!+#REF!+#REF!+#REF!</f>
        <v>#REF!</v>
      </c>
      <c r="D137" s="81" t="e">
        <f>#REF!</f>
        <v>#REF!</v>
      </c>
      <c r="E137" s="81" t="e">
        <f>#REF!+#REF!+#REF!+#REF!</f>
        <v>#REF!</v>
      </c>
      <c r="F137" s="81" t="e">
        <f>#REF!</f>
        <v>#REF!</v>
      </c>
      <c r="G137" s="81" t="e">
        <f>#REF!+#REF!+#REF!+#REF!</f>
        <v>#REF!</v>
      </c>
      <c r="H137" s="81" t="e">
        <f>#REF!</f>
        <v>#REF!</v>
      </c>
      <c r="I137" s="81" t="e">
        <f>#REF!+#REF!+#REF!+#REF!</f>
        <v>#REF!</v>
      </c>
      <c r="J137" s="82" t="e">
        <f>K137/SUM($K$137:$K$151)</f>
        <v>#REF!</v>
      </c>
      <c r="K137" s="81" t="e">
        <f>C137+E137+G137+I137</f>
        <v>#REF!</v>
      </c>
      <c r="L137" s="82"/>
      <c r="M137" s="83" t="e">
        <f>#REF!+#REF!+#REF!+#REF!</f>
        <v>#REF!</v>
      </c>
      <c r="N137" s="82"/>
      <c r="O137" s="83" t="e">
        <f>#REF!+#REF!+#REF!+#REF!</f>
        <v>#REF!</v>
      </c>
      <c r="P137" s="82"/>
      <c r="Q137" s="83" t="e">
        <f>#REF!+#REF!+#REF!+#REF!</f>
        <v>#REF!</v>
      </c>
      <c r="R137" s="82"/>
      <c r="S137" s="83" t="e">
        <f>#REF!+#REF!+#REF!+#REF!</f>
        <v>#REF!</v>
      </c>
    </row>
    <row r="138" ht="20.25" spans="1:24">
      <c r="A138" s="81" t="s">
        <v>52</v>
      </c>
      <c r="B138" s="81" t="e">
        <f>#REF!</f>
        <v>#REF!</v>
      </c>
      <c r="C138" s="81" t="e">
        <f>#REF!+#REF!+#REF!+#REF!</f>
        <v>#REF!</v>
      </c>
      <c r="D138" s="81" t="e">
        <f>#REF!</f>
        <v>#REF!</v>
      </c>
      <c r="E138" s="81" t="e">
        <f>#REF!+#REF!+#REF!+#REF!</f>
        <v>#REF!</v>
      </c>
      <c r="F138" s="81" t="e">
        <f>#REF!</f>
        <v>#REF!</v>
      </c>
      <c r="G138" s="81" t="e">
        <f>#REF!+#REF!+#REF!+#REF!</f>
        <v>#REF!</v>
      </c>
      <c r="H138" s="81" t="e">
        <f>#REF!</f>
        <v>#REF!</v>
      </c>
      <c r="I138" s="81" t="e">
        <f>#REF!+#REF!+#REF!+#REF!</f>
        <v>#REF!</v>
      </c>
      <c r="J138" s="82" t="e">
        <f t="shared" ref="J138:J151" si="14">K138/SUM($K$137:$K$151)</f>
        <v>#REF!</v>
      </c>
      <c r="K138" s="81" t="e">
        <f t="shared" ref="K138:K151" si="15">C138+E138+G138+I138</f>
        <v>#REF!</v>
      </c>
      <c r="L138" s="82"/>
      <c r="M138" s="83" t="e">
        <f>#REF!+#REF!+#REF!+#REF!</f>
        <v>#REF!</v>
      </c>
      <c r="N138" s="82"/>
      <c r="O138" s="83" t="e">
        <f>#REF!+#REF!+#REF!+#REF!</f>
        <v>#REF!</v>
      </c>
      <c r="P138" s="82"/>
      <c r="Q138" s="83" t="e">
        <f>#REF!+#REF!+#REF!+#REF!</f>
        <v>#REF!</v>
      </c>
      <c r="R138" s="82"/>
      <c r="S138" s="83" t="e">
        <f>#REF!+#REF!+#REF!+#REF!</f>
        <v>#REF!</v>
      </c>
    </row>
    <row r="139" ht="20.25" spans="1:24">
      <c r="A139" s="81" t="s">
        <v>53</v>
      </c>
      <c r="B139" s="81" t="e">
        <f>#REF!</f>
        <v>#REF!</v>
      </c>
      <c r="C139" s="81" t="e">
        <f>#REF!+#REF!+#REF!+#REF!</f>
        <v>#REF!</v>
      </c>
      <c r="D139" s="81" t="e">
        <f>#REF!</f>
        <v>#REF!</v>
      </c>
      <c r="E139" s="81" t="e">
        <f>#REF!+#REF!+#REF!+#REF!</f>
        <v>#REF!</v>
      </c>
      <c r="F139" s="81" t="e">
        <f>#REF!</f>
        <v>#REF!</v>
      </c>
      <c r="G139" s="81" t="e">
        <f>#REF!+#REF!+#REF!+#REF!</f>
        <v>#REF!</v>
      </c>
      <c r="H139" s="81" t="e">
        <f>#REF!</f>
        <v>#REF!</v>
      </c>
      <c r="I139" s="81" t="e">
        <f>#REF!+#REF!+#REF!+#REF!</f>
        <v>#REF!</v>
      </c>
      <c r="J139" s="82" t="e">
        <f t="shared" si="14"/>
        <v>#REF!</v>
      </c>
      <c r="K139" s="81" t="e">
        <f t="shared" si="15"/>
        <v>#REF!</v>
      </c>
      <c r="L139" s="82"/>
      <c r="M139" s="83" t="e">
        <f>#REF!+#REF!+#REF!+#REF!</f>
        <v>#REF!</v>
      </c>
      <c r="N139" s="82"/>
      <c r="O139" s="83" t="e">
        <f>#REF!+#REF!+#REF!+#REF!</f>
        <v>#REF!</v>
      </c>
      <c r="P139" s="82"/>
      <c r="Q139" s="83" t="e">
        <f>#REF!+#REF!+#REF!+#REF!</f>
        <v>#REF!</v>
      </c>
      <c r="R139" s="82"/>
      <c r="S139" s="83" t="e">
        <f>#REF!+#REF!+#REF!+#REF!</f>
        <v>#REF!</v>
      </c>
    </row>
    <row r="140" ht="20.25" spans="1:24">
      <c r="A140" s="81" t="s">
        <v>54</v>
      </c>
      <c r="B140" s="81" t="e">
        <f>#REF!</f>
        <v>#REF!</v>
      </c>
      <c r="C140" s="81" t="e">
        <f>#REF!+#REF!+#REF!+#REF!</f>
        <v>#REF!</v>
      </c>
      <c r="D140" s="81" t="e">
        <f>#REF!</f>
        <v>#REF!</v>
      </c>
      <c r="E140" s="81" t="e">
        <f>#REF!+#REF!+#REF!+#REF!</f>
        <v>#REF!</v>
      </c>
      <c r="F140" s="81" t="e">
        <f>#REF!</f>
        <v>#REF!</v>
      </c>
      <c r="G140" s="81" t="e">
        <f>#REF!+#REF!+#REF!+#REF!</f>
        <v>#REF!</v>
      </c>
      <c r="H140" s="81" t="e">
        <f>#REF!</f>
        <v>#REF!</v>
      </c>
      <c r="I140" s="81" t="e">
        <f>#REF!+#REF!+#REF!+#REF!</f>
        <v>#REF!</v>
      </c>
      <c r="J140" s="82" t="e">
        <f t="shared" si="14"/>
        <v>#REF!</v>
      </c>
      <c r="K140" s="81" t="e">
        <f t="shared" si="15"/>
        <v>#REF!</v>
      </c>
      <c r="L140" s="82"/>
      <c r="M140" s="83" t="e">
        <f>#REF!+#REF!+#REF!+#REF!</f>
        <v>#REF!</v>
      </c>
      <c r="N140" s="82"/>
      <c r="O140" s="83" t="e">
        <f>#REF!+#REF!+#REF!+#REF!</f>
        <v>#REF!</v>
      </c>
      <c r="P140" s="82"/>
      <c r="Q140" s="83" t="e">
        <f>#REF!+#REF!+#REF!+#REF!</f>
        <v>#REF!</v>
      </c>
      <c r="R140" s="82"/>
      <c r="S140" s="83" t="e">
        <f>#REF!+#REF!+#REF!+#REF!</f>
        <v>#REF!</v>
      </c>
    </row>
    <row r="141" ht="20.25" spans="1:24">
      <c r="A141" s="81" t="s">
        <v>55</v>
      </c>
      <c r="B141" s="81" t="e">
        <f>#REF!</f>
        <v>#REF!</v>
      </c>
      <c r="C141" s="81" t="e">
        <f>#REF!+#REF!+#REF!+#REF!</f>
        <v>#REF!</v>
      </c>
      <c r="D141" s="81" t="e">
        <f>#REF!</f>
        <v>#REF!</v>
      </c>
      <c r="E141" s="81" t="e">
        <f>#REF!+#REF!+#REF!+#REF!</f>
        <v>#REF!</v>
      </c>
      <c r="F141" s="81" t="e">
        <f>#REF!</f>
        <v>#REF!</v>
      </c>
      <c r="G141" s="81" t="e">
        <f>#REF!+#REF!+#REF!+#REF!</f>
        <v>#REF!</v>
      </c>
      <c r="H141" s="81" t="e">
        <f>#REF!</f>
        <v>#REF!</v>
      </c>
      <c r="I141" s="81" t="e">
        <f>#REF!+#REF!+#REF!+#REF!</f>
        <v>#REF!</v>
      </c>
      <c r="J141" s="82" t="e">
        <f t="shared" si="14"/>
        <v>#REF!</v>
      </c>
      <c r="K141" s="81" t="e">
        <f t="shared" si="15"/>
        <v>#REF!</v>
      </c>
      <c r="L141" s="82"/>
      <c r="M141" s="83" t="e">
        <f>#REF!+#REF!+#REF!+#REF!</f>
        <v>#REF!</v>
      </c>
      <c r="N141" s="82"/>
      <c r="O141" s="83" t="e">
        <f>#REF!+#REF!+#REF!+#REF!</f>
        <v>#REF!</v>
      </c>
      <c r="P141" s="82"/>
      <c r="Q141" s="83" t="e">
        <f>#REF!+#REF!+#REF!+#REF!</f>
        <v>#REF!</v>
      </c>
      <c r="R141" s="82"/>
      <c r="S141" s="83" t="e">
        <f>#REF!+#REF!+#REF!+#REF!</f>
        <v>#REF!</v>
      </c>
    </row>
    <row r="142" ht="20.25" spans="1:24">
      <c r="A142" s="81" t="s">
        <v>56</v>
      </c>
      <c r="B142" s="81" t="e">
        <f>#REF!</f>
        <v>#REF!</v>
      </c>
      <c r="C142" s="81" t="e">
        <f>#REF!+#REF!+#REF!+#REF!</f>
        <v>#REF!</v>
      </c>
      <c r="D142" s="81" t="e">
        <f>#REF!</f>
        <v>#REF!</v>
      </c>
      <c r="E142" s="81" t="e">
        <f>#REF!+#REF!+#REF!+#REF!</f>
        <v>#REF!</v>
      </c>
      <c r="F142" s="81" t="e">
        <f>#REF!</f>
        <v>#REF!</v>
      </c>
      <c r="G142" s="81" t="e">
        <f>#REF!+#REF!+#REF!+#REF!</f>
        <v>#REF!</v>
      </c>
      <c r="H142" s="81" t="e">
        <f>#REF!</f>
        <v>#REF!</v>
      </c>
      <c r="I142" s="81" t="e">
        <f>#REF!+#REF!+#REF!+#REF!</f>
        <v>#REF!</v>
      </c>
      <c r="J142" s="82" t="e">
        <f t="shared" si="14"/>
        <v>#REF!</v>
      </c>
      <c r="K142" s="81" t="e">
        <f t="shared" si="15"/>
        <v>#REF!</v>
      </c>
      <c r="L142" s="82"/>
      <c r="M142" s="83" t="e">
        <f>#REF!+#REF!+#REF!+#REF!</f>
        <v>#REF!</v>
      </c>
      <c r="N142" s="82"/>
      <c r="O142" s="83" t="e">
        <f>#REF!+#REF!+#REF!+#REF!</f>
        <v>#REF!</v>
      </c>
      <c r="P142" s="82"/>
      <c r="Q142" s="83" t="e">
        <f>#REF!+#REF!+#REF!+#REF!</f>
        <v>#REF!</v>
      </c>
      <c r="R142" s="82"/>
      <c r="S142" s="83" t="e">
        <f>#REF!+#REF!+#REF!+#REF!</f>
        <v>#REF!</v>
      </c>
    </row>
    <row r="143" ht="20.25" spans="1:24">
      <c r="A143" s="81" t="s">
        <v>57</v>
      </c>
      <c r="B143" s="81" t="e">
        <f>#REF!</f>
        <v>#REF!</v>
      </c>
      <c r="C143" s="81" t="e">
        <f>#REF!+#REF!+#REF!+#REF!</f>
        <v>#REF!</v>
      </c>
      <c r="D143" s="81" t="e">
        <f>#REF!</f>
        <v>#REF!</v>
      </c>
      <c r="E143" s="81" t="e">
        <f>#REF!+#REF!+#REF!+#REF!</f>
        <v>#REF!</v>
      </c>
      <c r="F143" s="81" t="e">
        <f>#REF!</f>
        <v>#REF!</v>
      </c>
      <c r="G143" s="81" t="e">
        <f>#REF!+#REF!+#REF!+#REF!</f>
        <v>#REF!</v>
      </c>
      <c r="H143" s="81" t="e">
        <f>#REF!</f>
        <v>#REF!</v>
      </c>
      <c r="I143" s="81" t="e">
        <f>#REF!+#REF!+#REF!+#REF!</f>
        <v>#REF!</v>
      </c>
      <c r="J143" s="82" t="e">
        <f t="shared" si="14"/>
        <v>#REF!</v>
      </c>
      <c r="K143" s="81" t="e">
        <f t="shared" si="15"/>
        <v>#REF!</v>
      </c>
      <c r="L143" s="82"/>
      <c r="M143" s="83" t="e">
        <f>#REF!+#REF!+#REF!+#REF!</f>
        <v>#REF!</v>
      </c>
      <c r="N143" s="82"/>
      <c r="O143" s="83" t="e">
        <f>#REF!+#REF!+#REF!+#REF!</f>
        <v>#REF!</v>
      </c>
      <c r="P143" s="82"/>
      <c r="Q143" s="83" t="e">
        <f>#REF!+#REF!+#REF!+#REF!</f>
        <v>#REF!</v>
      </c>
      <c r="R143" s="82"/>
      <c r="S143" s="83" t="e">
        <f>#REF!+#REF!+#REF!+#REF!</f>
        <v>#REF!</v>
      </c>
    </row>
    <row r="144" ht="20.25" spans="1:24">
      <c r="A144" s="81" t="s">
        <v>58</v>
      </c>
      <c r="B144" s="81" t="e">
        <f>#REF!</f>
        <v>#REF!</v>
      </c>
      <c r="C144" s="81" t="e">
        <f>#REF!+#REF!+#REF!+#REF!</f>
        <v>#REF!</v>
      </c>
      <c r="D144" s="81" t="e">
        <f>#REF!</f>
        <v>#REF!</v>
      </c>
      <c r="E144" s="81" t="e">
        <f>#REF!+#REF!+#REF!+#REF!</f>
        <v>#REF!</v>
      </c>
      <c r="F144" s="81" t="e">
        <f>#REF!</f>
        <v>#REF!</v>
      </c>
      <c r="G144" s="81" t="e">
        <f>#REF!+#REF!+#REF!+#REF!</f>
        <v>#REF!</v>
      </c>
      <c r="H144" s="81" t="e">
        <f>#REF!</f>
        <v>#REF!</v>
      </c>
      <c r="I144" s="81" t="e">
        <f>#REF!+#REF!+#REF!+#REF!</f>
        <v>#REF!</v>
      </c>
      <c r="J144" s="82" t="e">
        <f t="shared" si="14"/>
        <v>#REF!</v>
      </c>
      <c r="K144" s="81" t="e">
        <f t="shared" si="15"/>
        <v>#REF!</v>
      </c>
      <c r="L144" s="82"/>
      <c r="M144" s="83" t="e">
        <f>#REF!+#REF!+#REF!+#REF!</f>
        <v>#REF!</v>
      </c>
      <c r="N144" s="82"/>
      <c r="O144" s="83" t="e">
        <f>#REF!+#REF!+#REF!+#REF!</f>
        <v>#REF!</v>
      </c>
      <c r="P144" s="82"/>
      <c r="Q144" s="83" t="e">
        <f>#REF!+#REF!+#REF!+#REF!</f>
        <v>#REF!</v>
      </c>
      <c r="R144" s="82"/>
      <c r="S144" s="83" t="e">
        <f>#REF!+#REF!+#REF!+#REF!</f>
        <v>#REF!</v>
      </c>
    </row>
    <row r="145" ht="20.25" spans="1:19">
      <c r="A145" s="81" t="s">
        <v>59</v>
      </c>
      <c r="B145" s="81" t="e">
        <f>#REF!</f>
        <v>#REF!</v>
      </c>
      <c r="C145" s="81" t="e">
        <f>#REF!+#REF!+#REF!+#REF!</f>
        <v>#REF!</v>
      </c>
      <c r="D145" s="81" t="e">
        <f>#REF!</f>
        <v>#REF!</v>
      </c>
      <c r="E145" s="81" t="e">
        <f>#REF!+#REF!+#REF!+#REF!</f>
        <v>#REF!</v>
      </c>
      <c r="F145" s="81" t="e">
        <f>#REF!</f>
        <v>#REF!</v>
      </c>
      <c r="G145" s="81" t="e">
        <f>#REF!+#REF!+#REF!+#REF!</f>
        <v>#REF!</v>
      </c>
      <c r="H145" s="81" t="e">
        <f>#REF!</f>
        <v>#REF!</v>
      </c>
      <c r="I145" s="81" t="e">
        <f>#REF!+#REF!+#REF!+#REF!</f>
        <v>#REF!</v>
      </c>
      <c r="J145" s="82" t="e">
        <f t="shared" si="14"/>
        <v>#REF!</v>
      </c>
      <c r="K145" s="81" t="e">
        <f t="shared" si="15"/>
        <v>#REF!</v>
      </c>
      <c r="L145" s="82"/>
      <c r="M145" s="83" t="e">
        <f>#REF!+#REF!+#REF!+#REF!</f>
        <v>#REF!</v>
      </c>
      <c r="N145" s="82"/>
      <c r="O145" s="83" t="e">
        <f>#REF!+#REF!+#REF!+#REF!</f>
        <v>#REF!</v>
      </c>
      <c r="P145" s="82"/>
      <c r="Q145" s="83" t="e">
        <f>#REF!+#REF!+#REF!+#REF!</f>
        <v>#REF!</v>
      </c>
      <c r="R145" s="82"/>
      <c r="S145" s="83" t="e">
        <f>#REF!+#REF!+#REF!+#REF!</f>
        <v>#REF!</v>
      </c>
    </row>
    <row r="146" ht="20.25" spans="1:19">
      <c r="A146" s="81" t="s">
        <v>60</v>
      </c>
      <c r="B146" s="81" t="e">
        <f>#REF!</f>
        <v>#REF!</v>
      </c>
      <c r="C146" s="81" t="e">
        <f>#REF!+#REF!+#REF!+#REF!</f>
        <v>#REF!</v>
      </c>
      <c r="D146" s="81" t="e">
        <f>#REF!</f>
        <v>#REF!</v>
      </c>
      <c r="E146" s="81" t="e">
        <f>#REF!+#REF!+#REF!+#REF!</f>
        <v>#REF!</v>
      </c>
      <c r="F146" s="81" t="e">
        <f>#REF!</f>
        <v>#REF!</v>
      </c>
      <c r="G146" s="81" t="e">
        <f>#REF!+#REF!+#REF!+#REF!</f>
        <v>#REF!</v>
      </c>
      <c r="H146" s="81" t="e">
        <f>#REF!</f>
        <v>#REF!</v>
      </c>
      <c r="I146" s="81" t="e">
        <f>#REF!+#REF!+#REF!+#REF!</f>
        <v>#REF!</v>
      </c>
      <c r="J146" s="82" t="e">
        <f t="shared" si="14"/>
        <v>#REF!</v>
      </c>
      <c r="K146" s="81" t="e">
        <f t="shared" si="15"/>
        <v>#REF!</v>
      </c>
      <c r="L146" s="82"/>
      <c r="M146" s="83" t="e">
        <f>#REF!+#REF!+#REF!+#REF!</f>
        <v>#REF!</v>
      </c>
      <c r="N146" s="82"/>
      <c r="O146" s="83" t="e">
        <f>#REF!+#REF!+#REF!+#REF!</f>
        <v>#REF!</v>
      </c>
      <c r="P146" s="82"/>
      <c r="Q146" s="83" t="e">
        <f>#REF!+#REF!+#REF!+#REF!</f>
        <v>#REF!</v>
      </c>
      <c r="R146" s="82"/>
      <c r="S146" s="83" t="e">
        <f>#REF!+#REF!+#REF!+#REF!</f>
        <v>#REF!</v>
      </c>
    </row>
    <row r="147" ht="20.25" spans="1:19">
      <c r="A147" s="81" t="s">
        <v>61</v>
      </c>
      <c r="B147" s="81" t="e">
        <f>#REF!</f>
        <v>#REF!</v>
      </c>
      <c r="C147" s="81" t="e">
        <f>#REF!+#REF!+#REF!+#REF!</f>
        <v>#REF!</v>
      </c>
      <c r="D147" s="81" t="e">
        <f>#REF!</f>
        <v>#REF!</v>
      </c>
      <c r="E147" s="81" t="e">
        <f>#REF!+#REF!+#REF!+#REF!</f>
        <v>#REF!</v>
      </c>
      <c r="F147" s="81" t="e">
        <f>#REF!</f>
        <v>#REF!</v>
      </c>
      <c r="G147" s="81" t="e">
        <f>#REF!+#REF!+#REF!+#REF!</f>
        <v>#REF!</v>
      </c>
      <c r="H147" s="81" t="e">
        <f>#REF!</f>
        <v>#REF!</v>
      </c>
      <c r="I147" s="81" t="e">
        <f>#REF!+#REF!+#REF!+#REF!</f>
        <v>#REF!</v>
      </c>
      <c r="J147" s="82" t="e">
        <f t="shared" si="14"/>
        <v>#REF!</v>
      </c>
      <c r="K147" s="81" t="e">
        <f t="shared" si="15"/>
        <v>#REF!</v>
      </c>
      <c r="L147" s="82"/>
      <c r="M147" s="83" t="e">
        <f>#REF!+#REF!+#REF!+#REF!</f>
        <v>#REF!</v>
      </c>
      <c r="N147" s="82"/>
      <c r="O147" s="83" t="e">
        <f>#REF!+#REF!+#REF!+#REF!</f>
        <v>#REF!</v>
      </c>
      <c r="P147" s="82"/>
      <c r="Q147" s="83" t="e">
        <f>#REF!+#REF!+#REF!+#REF!</f>
        <v>#REF!</v>
      </c>
      <c r="R147" s="82"/>
      <c r="S147" s="83" t="e">
        <f>#REF!+#REF!+#REF!+#REF!</f>
        <v>#REF!</v>
      </c>
    </row>
    <row r="148" ht="20.25" spans="1:19">
      <c r="A148" s="81" t="s">
        <v>62</v>
      </c>
      <c r="B148" s="81" t="e">
        <f>#REF!</f>
        <v>#REF!</v>
      </c>
      <c r="C148" s="81" t="e">
        <f>#REF!+#REF!+#REF!+#REF!</f>
        <v>#REF!</v>
      </c>
      <c r="D148" s="81" t="e">
        <f>#REF!</f>
        <v>#REF!</v>
      </c>
      <c r="E148" s="81" t="e">
        <f>#REF!+#REF!+#REF!+#REF!</f>
        <v>#REF!</v>
      </c>
      <c r="F148" s="81" t="e">
        <f>#REF!</f>
        <v>#REF!</v>
      </c>
      <c r="G148" s="81" t="e">
        <f>#REF!+#REF!+#REF!+#REF!</f>
        <v>#REF!</v>
      </c>
      <c r="H148" s="81" t="e">
        <f>#REF!</f>
        <v>#REF!</v>
      </c>
      <c r="I148" s="81" t="e">
        <f>#REF!+#REF!+#REF!+#REF!</f>
        <v>#REF!</v>
      </c>
      <c r="J148" s="82" t="e">
        <f t="shared" si="14"/>
        <v>#REF!</v>
      </c>
      <c r="K148" s="81" t="e">
        <f t="shared" si="15"/>
        <v>#REF!</v>
      </c>
      <c r="L148" s="82"/>
      <c r="M148" s="83" t="e">
        <f>#REF!+#REF!+#REF!+#REF!</f>
        <v>#REF!</v>
      </c>
      <c r="N148" s="82"/>
      <c r="O148" s="83" t="e">
        <f>#REF!+#REF!+#REF!+#REF!</f>
        <v>#REF!</v>
      </c>
      <c r="P148" s="82"/>
      <c r="Q148" s="83" t="e">
        <f>#REF!+#REF!+#REF!+#REF!</f>
        <v>#REF!</v>
      </c>
      <c r="R148" s="82"/>
      <c r="S148" s="83" t="e">
        <f>#REF!+#REF!+#REF!+#REF!</f>
        <v>#REF!</v>
      </c>
    </row>
    <row r="149" ht="20.25" spans="1:19">
      <c r="A149" s="81" t="s">
        <v>63</v>
      </c>
      <c r="B149" s="81" t="e">
        <f>#REF!</f>
        <v>#REF!</v>
      </c>
      <c r="C149" s="81" t="e">
        <f>#REF!+#REF!+#REF!+#REF!</f>
        <v>#REF!</v>
      </c>
      <c r="D149" s="81" t="e">
        <f>#REF!</f>
        <v>#REF!</v>
      </c>
      <c r="E149" s="81" t="e">
        <f>#REF!+#REF!+#REF!+#REF!</f>
        <v>#REF!</v>
      </c>
      <c r="F149" s="81" t="e">
        <f>#REF!</f>
        <v>#REF!</v>
      </c>
      <c r="G149" s="81" t="e">
        <f>#REF!+#REF!+#REF!+#REF!</f>
        <v>#REF!</v>
      </c>
      <c r="H149" s="81" t="e">
        <f>#REF!</f>
        <v>#REF!</v>
      </c>
      <c r="I149" s="81" t="e">
        <f>#REF!+#REF!+#REF!+#REF!</f>
        <v>#REF!</v>
      </c>
      <c r="J149" s="82" t="e">
        <f t="shared" si="14"/>
        <v>#REF!</v>
      </c>
      <c r="K149" s="81" t="e">
        <f t="shared" si="15"/>
        <v>#REF!</v>
      </c>
      <c r="L149" s="82"/>
      <c r="M149" s="83" t="e">
        <f>#REF!+#REF!+#REF!+#REF!</f>
        <v>#REF!</v>
      </c>
      <c r="N149" s="82"/>
      <c r="O149" s="83" t="e">
        <f>#REF!+#REF!+#REF!+#REF!</f>
        <v>#REF!</v>
      </c>
      <c r="P149" s="82"/>
      <c r="Q149" s="83" t="e">
        <f>#REF!+#REF!+#REF!+#REF!</f>
        <v>#REF!</v>
      </c>
      <c r="R149" s="82"/>
      <c r="S149" s="83" t="e">
        <f>#REF!+#REF!+#REF!+#REF!</f>
        <v>#REF!</v>
      </c>
    </row>
    <row r="150" ht="20.25" spans="1:19">
      <c r="A150" s="81" t="s">
        <v>64</v>
      </c>
      <c r="B150" s="81" t="e">
        <f>#REF!</f>
        <v>#REF!</v>
      </c>
      <c r="C150" s="81" t="e">
        <f>#REF!+#REF!+#REF!+#REF!</f>
        <v>#REF!</v>
      </c>
      <c r="D150" s="81" t="e">
        <f>#REF!</f>
        <v>#REF!</v>
      </c>
      <c r="E150" s="81" t="e">
        <f>#REF!+#REF!+#REF!+#REF!</f>
        <v>#REF!</v>
      </c>
      <c r="F150" s="81" t="e">
        <f>#REF!</f>
        <v>#REF!</v>
      </c>
      <c r="G150" s="81" t="e">
        <f>#REF!+#REF!+#REF!+#REF!</f>
        <v>#REF!</v>
      </c>
      <c r="H150" s="81" t="e">
        <f>#REF!</f>
        <v>#REF!</v>
      </c>
      <c r="I150" s="81" t="e">
        <f>#REF!+#REF!+#REF!+#REF!</f>
        <v>#REF!</v>
      </c>
      <c r="J150" s="82" t="e">
        <f t="shared" si="14"/>
        <v>#REF!</v>
      </c>
      <c r="K150" s="81" t="e">
        <f t="shared" si="15"/>
        <v>#REF!</v>
      </c>
      <c r="L150" s="82"/>
      <c r="M150" s="83" t="e">
        <f>#REF!+#REF!+#REF!+#REF!</f>
        <v>#REF!</v>
      </c>
      <c r="N150" s="82"/>
      <c r="O150" s="83" t="e">
        <f>#REF!+#REF!+#REF!+#REF!</f>
        <v>#REF!</v>
      </c>
      <c r="P150" s="82"/>
      <c r="Q150" s="83" t="e">
        <f>#REF!+#REF!+#REF!+#REF!</f>
        <v>#REF!</v>
      </c>
      <c r="R150" s="82"/>
      <c r="S150" s="83" t="e">
        <f>#REF!+#REF!+#REF!+#REF!</f>
        <v>#REF!</v>
      </c>
    </row>
    <row r="151" ht="20.25" spans="1:19">
      <c r="A151" s="81" t="s">
        <v>65</v>
      </c>
      <c r="B151" s="81" t="e">
        <f>#REF!</f>
        <v>#REF!</v>
      </c>
      <c r="C151" s="81" t="e">
        <f>#REF!+#REF!+#REF!+#REF!</f>
        <v>#REF!</v>
      </c>
      <c r="D151" s="81" t="e">
        <f>#REF!</f>
        <v>#REF!</v>
      </c>
      <c r="E151" s="81" t="e">
        <f>#REF!+#REF!+#REF!+#REF!</f>
        <v>#REF!</v>
      </c>
      <c r="F151" s="81" t="e">
        <f>#REF!</f>
        <v>#REF!</v>
      </c>
      <c r="G151" s="81" t="e">
        <f>#REF!+#REF!+#REF!+#REF!</f>
        <v>#REF!</v>
      </c>
      <c r="H151" s="81" t="e">
        <f>#REF!</f>
        <v>#REF!</v>
      </c>
      <c r="I151" s="81" t="e">
        <f>#REF!+#REF!+#REF!+#REF!</f>
        <v>#REF!</v>
      </c>
      <c r="J151" s="82" t="e">
        <f t="shared" si="14"/>
        <v>#REF!</v>
      </c>
      <c r="K151" s="81" t="e">
        <f t="shared" si="15"/>
        <v>#REF!</v>
      </c>
      <c r="L151" s="82"/>
      <c r="M151" s="83" t="e">
        <f>#REF!+#REF!+#REF!+#REF!</f>
        <v>#REF!</v>
      </c>
      <c r="N151" s="82"/>
      <c r="O151" s="83" t="e">
        <f>#REF!+#REF!+#REF!+#REF!</f>
        <v>#REF!</v>
      </c>
      <c r="P151" s="82"/>
      <c r="Q151" s="83" t="e">
        <f>#REF!+#REF!+#REF!+#REF!</f>
        <v>#REF!</v>
      </c>
      <c r="R151" s="82"/>
      <c r="S151" s="83" t="e">
        <f>#REF!+#REF!+#REF!+#REF!</f>
        <v>#REF!</v>
      </c>
    </row>
  </sheetData>
  <mergeCells count="80">
    <mergeCell ref="A1: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B20:S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39:S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B58:S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B77:S77"/>
    <mergeCell ref="B78:C78"/>
    <mergeCell ref="D78:E78"/>
    <mergeCell ref="F78:G78"/>
    <mergeCell ref="H78:I78"/>
    <mergeCell ref="J78:K78"/>
    <mergeCell ref="L78:M78"/>
    <mergeCell ref="N78:O78"/>
    <mergeCell ref="P78:Q78"/>
    <mergeCell ref="R78:S78"/>
    <mergeCell ref="B96:S96"/>
    <mergeCell ref="B97:C97"/>
    <mergeCell ref="D97:E97"/>
    <mergeCell ref="F97:G97"/>
    <mergeCell ref="H97:I97"/>
    <mergeCell ref="J97:K97"/>
    <mergeCell ref="L97:M97"/>
    <mergeCell ref="N97:O97"/>
    <mergeCell ref="P97:Q97"/>
    <mergeCell ref="R97:S97"/>
    <mergeCell ref="B115:S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B134:S134"/>
    <mergeCell ref="B135:C135"/>
    <mergeCell ref="D135:E135"/>
    <mergeCell ref="F135:G135"/>
    <mergeCell ref="H135:I135"/>
    <mergeCell ref="J135:K135"/>
    <mergeCell ref="L135:M135"/>
    <mergeCell ref="N135:O135"/>
    <mergeCell ref="P135:Q135"/>
    <mergeCell ref="R135:S13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M115"/>
  <sheetViews>
    <sheetView tabSelected="1" zoomScale="55" zoomScaleNormal="55" workbookViewId="0">
      <selection activeCell="W24" sqref="W24"/>
    </sheetView>
  </sheetViews>
  <sheetFormatPr defaultColWidth="9" defaultRowHeight="13.5"/>
  <cols>
    <col min="1" max="2" width="13.7583333333333" customWidth="1"/>
    <col min="3" max="4" width="13.875" customWidth="1"/>
    <col min="5" max="5" width="14.125" customWidth="1"/>
    <col min="6" max="8" width="13.875" customWidth="1"/>
    <col min="9" max="9" width="55.875" customWidth="1"/>
    <col min="10" max="11" width="13.875" customWidth="1"/>
    <col min="12" max="15" width="15.625" customWidth="1"/>
    <col min="16" max="16" width="14.8166666666667" customWidth="1"/>
    <col min="17" max="17" width="13.875" customWidth="1"/>
    <col min="18" max="18" width="14.7666666666667" customWidth="1"/>
    <col min="19" max="27" width="13.875" customWidth="1"/>
  </cols>
  <sheetData>
    <row r="1" ht="32.1" customHeight="1" spans="1:27">
      <c r="A1" s="54" t="s">
        <v>81</v>
      </c>
      <c r="B1" s="54"/>
      <c r="C1" s="54"/>
      <c r="D1" s="54"/>
      <c r="E1" s="54"/>
      <c r="F1" s="54"/>
      <c r="G1" s="54"/>
      <c r="H1" s="54"/>
      <c r="I1" s="54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ht="32.1" customHeight="1" spans="1:27">
      <c r="C2" s="55"/>
      <c r="D2" s="55"/>
      <c r="E2" s="55"/>
      <c r="F2" s="55"/>
      <c r="G2" s="55"/>
      <c r="H2" s="55"/>
      <c r="I2" s="55"/>
      <c r="J2" s="56"/>
      <c r="K2" s="56"/>
      <c r="L2" s="57" t="s">
        <v>32</v>
      </c>
      <c r="M2" s="57"/>
      <c r="N2" s="57"/>
      <c r="O2" s="57"/>
      <c r="P2" s="57" t="s">
        <v>82</v>
      </c>
      <c r="Q2" s="57"/>
      <c r="R2" s="57"/>
      <c r="S2" s="57"/>
      <c r="T2" s="57" t="s">
        <v>33</v>
      </c>
      <c r="U2" s="57"/>
      <c r="V2" s="57"/>
      <c r="W2" s="57"/>
      <c r="X2" s="57" t="s">
        <v>35</v>
      </c>
      <c r="Y2" s="57"/>
      <c r="Z2" s="57"/>
      <c r="AA2" s="57"/>
    </row>
    <row r="3" ht="32.1" customHeight="1" spans="1:27">
      <c r="C3" s="55"/>
      <c r="D3" s="55"/>
      <c r="E3" s="55"/>
      <c r="F3" s="58" t="s">
        <v>83</v>
      </c>
      <c r="G3" s="59"/>
      <c r="H3" s="59"/>
      <c r="I3" s="59"/>
      <c r="J3" s="56"/>
      <c r="K3" s="57" t="s">
        <v>66</v>
      </c>
      <c r="L3" s="57" t="s">
        <v>84</v>
      </c>
      <c r="M3" s="57" t="s">
        <v>85</v>
      </c>
      <c r="N3" s="57" t="s">
        <v>86</v>
      </c>
      <c r="O3" s="57" t="s">
        <v>87</v>
      </c>
      <c r="P3" s="57" t="s">
        <v>84</v>
      </c>
      <c r="Q3" s="57" t="s">
        <v>85</v>
      </c>
      <c r="R3" s="57" t="s">
        <v>86</v>
      </c>
      <c r="S3" s="57" t="s">
        <v>87</v>
      </c>
      <c r="T3" s="57" t="s">
        <v>84</v>
      </c>
      <c r="U3" s="57" t="s">
        <v>85</v>
      </c>
      <c r="V3" s="57" t="s">
        <v>86</v>
      </c>
      <c r="W3" s="57" t="s">
        <v>87</v>
      </c>
      <c r="X3" s="57" t="s">
        <v>84</v>
      </c>
      <c r="Y3" s="57" t="s">
        <v>85</v>
      </c>
      <c r="Z3" s="57" t="s">
        <v>86</v>
      </c>
      <c r="AA3" s="57" t="s">
        <v>87</v>
      </c>
    </row>
    <row r="4" ht="32.1" customHeight="1" spans="1:27">
      <c r="C4" s="55"/>
      <c r="D4" s="55"/>
      <c r="E4" s="55"/>
      <c r="F4" s="59"/>
      <c r="G4" s="59"/>
      <c r="H4" s="59"/>
      <c r="I4" s="59"/>
      <c r="J4" s="57" t="s">
        <v>88</v>
      </c>
      <c r="K4" s="57" t="s">
        <v>36</v>
      </c>
      <c r="L4" s="60">
        <f ca="1">'1年本地'!V23</f>
        <v>169</v>
      </c>
      <c r="M4" s="60">
        <f ca="1">'1年本地'!V46</f>
        <v>13</v>
      </c>
      <c r="N4" s="60">
        <f ca="1">'1年本地'!V69</f>
        <v>0</v>
      </c>
      <c r="O4" s="60">
        <f ca="1">'1年本地'!V92</f>
        <v>0</v>
      </c>
      <c r="P4" s="60">
        <f ca="1">'1年区域'!V23</f>
        <v>0</v>
      </c>
      <c r="Q4" s="60">
        <f ca="1">'1年区域'!V46</f>
        <v>0</v>
      </c>
      <c r="R4" s="60">
        <f ca="1">'1年区域'!V69</f>
        <v>0</v>
      </c>
      <c r="S4" s="60">
        <f ca="1">'1年区域'!V92</f>
        <v>0</v>
      </c>
      <c r="T4" s="60">
        <f ca="1">'1年全国'!V23</f>
        <v>0</v>
      </c>
      <c r="U4" s="60">
        <f ca="1">'1年全国'!V46</f>
        <v>0</v>
      </c>
      <c r="V4" s="60">
        <f ca="1">'1年全国'!V69</f>
        <v>0</v>
      </c>
      <c r="W4" s="60">
        <f ca="1">'1年全国'!V92</f>
        <v>0</v>
      </c>
      <c r="X4" s="60">
        <f ca="1">'1年全球'!V23</f>
        <v>0</v>
      </c>
      <c r="Y4" s="60">
        <f ca="1">'1年全球'!V46</f>
        <v>0</v>
      </c>
      <c r="Z4" s="60">
        <f ca="1">'1年全球'!V69</f>
        <v>0</v>
      </c>
      <c r="AA4" s="60">
        <f ca="1">'1年全球'!V92</f>
        <v>0</v>
      </c>
    </row>
    <row r="5" ht="32.1" customHeight="1" spans="1:27">
      <c r="C5" s="55"/>
      <c r="D5" s="55"/>
      <c r="E5" s="55"/>
      <c r="F5" s="59"/>
      <c r="G5" s="59"/>
      <c r="H5" s="59"/>
      <c r="I5" s="59"/>
      <c r="J5" s="57"/>
      <c r="K5" s="57" t="s">
        <v>67</v>
      </c>
      <c r="L5" s="60">
        <f ca="1">'2年本地'!V23</f>
        <v>79</v>
      </c>
      <c r="M5" s="60">
        <f ca="1">'2年本地'!V46</f>
        <v>41</v>
      </c>
      <c r="N5" s="60">
        <f ca="1">'2年本地'!V69</f>
        <v>0</v>
      </c>
      <c r="O5" s="60">
        <f ca="1">'2年本地'!V92</f>
        <v>0</v>
      </c>
      <c r="P5" s="60">
        <f ca="1">'2年区域'!V23</f>
        <v>87</v>
      </c>
      <c r="Q5" s="60">
        <f ca="1">'2年区域'!V46</f>
        <v>39</v>
      </c>
      <c r="R5" s="60">
        <f ca="1">'2年区域'!V69</f>
        <v>0</v>
      </c>
      <c r="S5" s="60">
        <f ca="1">'2年区域'!V92</f>
        <v>0</v>
      </c>
      <c r="T5" s="60">
        <f ca="1">'2年全国'!V23</f>
        <v>0</v>
      </c>
      <c r="U5" s="60">
        <f ca="1">'2年全国'!V46</f>
        <v>0</v>
      </c>
      <c r="V5" s="60">
        <f ca="1">'2年全国'!V69</f>
        <v>0</v>
      </c>
      <c r="W5" s="60">
        <f ca="1">'2年全国'!V92</f>
        <v>0</v>
      </c>
      <c r="X5" s="60">
        <f ca="1">'2年全球'!V23</f>
        <v>0</v>
      </c>
      <c r="Y5" s="60">
        <f ca="1">'2年全球'!V46</f>
        <v>0</v>
      </c>
      <c r="Z5" s="60">
        <f ca="1">'2年全球'!V69</f>
        <v>0</v>
      </c>
      <c r="AA5" s="60">
        <f ca="1">'2年全球'!V92</f>
        <v>0</v>
      </c>
    </row>
    <row r="6" ht="32.1" customHeight="1" spans="1:27">
      <c r="C6" s="55"/>
      <c r="D6" s="55"/>
      <c r="E6" s="55"/>
      <c r="F6" s="59"/>
      <c r="G6" s="59"/>
      <c r="H6" s="59"/>
      <c r="I6" s="59"/>
      <c r="J6" s="57"/>
      <c r="K6" s="57" t="s">
        <v>69</v>
      </c>
      <c r="L6" s="60">
        <f ca="1">'3年本地'!V23</f>
        <v>30</v>
      </c>
      <c r="M6" s="60">
        <f ca="1">'3年本地'!V46</f>
        <v>36</v>
      </c>
      <c r="N6" s="60">
        <f ca="1">'3年本地'!V69</f>
        <v>48</v>
      </c>
      <c r="O6" s="60">
        <f ca="1">'3年本地'!V92</f>
        <v>33</v>
      </c>
      <c r="P6" s="60">
        <f ca="1">'3年区域'!V23</f>
        <v>52.5</v>
      </c>
      <c r="Q6" s="60">
        <f ca="1">'3年区域'!V46</f>
        <v>50</v>
      </c>
      <c r="R6" s="60">
        <f ca="1">'3年区域'!V69</f>
        <v>18</v>
      </c>
      <c r="S6" s="60">
        <f ca="1">'3年区域'!V92</f>
        <v>58.5</v>
      </c>
      <c r="T6" s="60">
        <f ca="1">'3年全国'!V23</f>
        <v>131</v>
      </c>
      <c r="U6" s="60">
        <f ca="1">'3年全国'!V46</f>
        <v>111</v>
      </c>
      <c r="V6" s="60">
        <f ca="1">'3年全国'!V69</f>
        <v>89</v>
      </c>
      <c r="W6" s="60">
        <f ca="1">'3年全国'!V92</f>
        <v>36</v>
      </c>
      <c r="X6" s="60">
        <f ca="1">'3年全球'!V23</f>
        <v>0</v>
      </c>
      <c r="Y6" s="60">
        <f ca="1">'3年全球'!V46</f>
        <v>0</v>
      </c>
      <c r="Z6" s="60">
        <f ca="1">'3年全球'!V69</f>
        <v>0</v>
      </c>
      <c r="AA6" s="60">
        <f ca="1">'3年全球'!V92</f>
        <v>0</v>
      </c>
    </row>
    <row r="7" ht="32.1" customHeight="1" spans="1:27">
      <c r="C7" s="55"/>
      <c r="D7" s="55"/>
      <c r="E7" s="55"/>
      <c r="F7" s="59"/>
      <c r="G7" s="59"/>
      <c r="H7" s="59"/>
      <c r="I7" s="59"/>
      <c r="J7" s="57"/>
      <c r="K7" s="57" t="s">
        <v>71</v>
      </c>
      <c r="L7" s="60">
        <f ca="1">'4年本地'!V23</f>
        <v>45</v>
      </c>
      <c r="M7" s="60">
        <f ca="1">'4年本地'!V46</f>
        <v>57</v>
      </c>
      <c r="N7" s="60">
        <f ca="1">'4年本地'!V69</f>
        <v>48</v>
      </c>
      <c r="O7" s="60">
        <f ca="1">'4年本地'!V92</f>
        <v>76</v>
      </c>
      <c r="P7" s="60">
        <f ca="1">'4年区域'!V23</f>
        <v>54</v>
      </c>
      <c r="Q7" s="60">
        <f ca="1">'4年区域'!V46</f>
        <v>53</v>
      </c>
      <c r="R7" s="60">
        <f ca="1">'4年区域'!V69</f>
        <v>66</v>
      </c>
      <c r="S7" s="60">
        <f ca="1">'4年区域'!V92</f>
        <v>69</v>
      </c>
      <c r="T7" s="60">
        <f ca="1">'4年全国'!V23</f>
        <v>36</v>
      </c>
      <c r="U7" s="60">
        <f ca="1">'4年全国'!V46</f>
        <v>90</v>
      </c>
      <c r="V7" s="60">
        <f ca="1">'4年全国'!V69</f>
        <v>54</v>
      </c>
      <c r="W7" s="60">
        <f ca="1">'4年全国'!V92</f>
        <v>72</v>
      </c>
      <c r="X7" s="60">
        <f ca="1">'4年全球'!V23</f>
        <v>57</v>
      </c>
      <c r="Y7" s="60">
        <f ca="1">'4年全球'!V46</f>
        <v>89</v>
      </c>
      <c r="Z7" s="60">
        <f ca="1">'4年全球'!V69</f>
        <v>60</v>
      </c>
      <c r="AA7" s="60">
        <f ca="1">'4年全球'!V92</f>
        <v>66</v>
      </c>
    </row>
    <row r="8" ht="32.1" customHeight="1" spans="1:27">
      <c r="C8" s="55"/>
      <c r="D8" s="55"/>
      <c r="E8" s="55"/>
      <c r="F8" s="59"/>
      <c r="G8" s="59"/>
      <c r="H8" s="59"/>
      <c r="I8" s="59"/>
      <c r="J8" s="57"/>
      <c r="K8" s="57" t="s">
        <v>73</v>
      </c>
      <c r="L8" s="60">
        <f ca="1">'5年本地'!V23</f>
        <v>15</v>
      </c>
      <c r="M8" s="60">
        <f ca="1">'5年本地'!V46</f>
        <v>54</v>
      </c>
      <c r="N8" s="60">
        <f ca="1">'5年本地'!V69</f>
        <v>110</v>
      </c>
      <c r="O8" s="60">
        <f ca="1">'5年本地'!V92</f>
        <v>109</v>
      </c>
      <c r="P8" s="60">
        <f ca="1">'5年区域'!V23</f>
        <v>16.5</v>
      </c>
      <c r="Q8" s="60">
        <f ca="1">'5年区域'!V46</f>
        <v>33.5</v>
      </c>
      <c r="R8" s="60">
        <f ca="1">'5年区域'!V69</f>
        <v>102</v>
      </c>
      <c r="S8" s="60">
        <f ca="1">'5年区域'!V92</f>
        <v>114</v>
      </c>
      <c r="T8" s="60">
        <f ca="1">'5年全国'!V23</f>
        <v>23</v>
      </c>
      <c r="U8" s="60">
        <f ca="1">'5年全国'!V46</f>
        <v>63</v>
      </c>
      <c r="V8" s="60">
        <f ca="1">'5年全国'!V69</f>
        <v>97</v>
      </c>
      <c r="W8" s="60">
        <f ca="1">'5年全国'!V92</f>
        <v>141</v>
      </c>
      <c r="X8" s="60">
        <f ca="1">'5年全球'!V23</f>
        <v>48</v>
      </c>
      <c r="Y8" s="60">
        <f ca="1">'5年全球'!V46</f>
        <v>79</v>
      </c>
      <c r="Z8" s="60">
        <f ca="1">'5年全球'!V69</f>
        <v>111</v>
      </c>
      <c r="AA8" s="60">
        <f ca="1">'5年全球'!V92</f>
        <v>117</v>
      </c>
    </row>
    <row r="9" ht="32.1" customHeight="1" spans="1:27">
      <c r="C9" s="55"/>
      <c r="D9" s="55"/>
      <c r="E9" s="55"/>
      <c r="F9" s="59"/>
      <c r="G9" s="59"/>
      <c r="H9" s="59"/>
      <c r="I9" s="59"/>
      <c r="J9" s="57"/>
      <c r="K9" s="57" t="s">
        <v>75</v>
      </c>
      <c r="L9" s="60">
        <f ca="1">'6年本地'!V23</f>
        <v>15</v>
      </c>
      <c r="M9" s="60">
        <f ca="1">'6年本地'!V46</f>
        <v>54</v>
      </c>
      <c r="N9" s="60">
        <f ca="1">'6年本地'!V69</f>
        <v>110</v>
      </c>
      <c r="O9" s="60">
        <f ca="1">'6年本地'!V92</f>
        <v>122</v>
      </c>
      <c r="P9" s="60">
        <f ca="1">'6年区域'!V23</f>
        <v>12</v>
      </c>
      <c r="Q9" s="60">
        <f ca="1">'6年区域'!V46</f>
        <v>53</v>
      </c>
      <c r="R9" s="60">
        <f ca="1">'6年区域'!V69</f>
        <v>109.5</v>
      </c>
      <c r="S9" s="60">
        <f ca="1">'6年区域'!V92</f>
        <v>127.5</v>
      </c>
      <c r="T9" s="60">
        <f ca="1">'6年全国'!V23</f>
        <v>18</v>
      </c>
      <c r="U9" s="60">
        <f ca="1">'6年全国'!V46</f>
        <v>51</v>
      </c>
      <c r="V9" s="60">
        <f ca="1">'6年全国'!V69</f>
        <v>100</v>
      </c>
      <c r="W9" s="60">
        <f ca="1">'6年全国'!V92</f>
        <v>122</v>
      </c>
      <c r="X9" s="60">
        <f ca="1">'6年全球'!V23</f>
        <v>21</v>
      </c>
      <c r="Y9" s="60">
        <f ca="1">'6年全球'!V46</f>
        <v>79</v>
      </c>
      <c r="Z9" s="60">
        <f ca="1">'6年全球'!V69</f>
        <v>129</v>
      </c>
      <c r="AA9" s="60">
        <f ca="1">'6年全球'!V92</f>
        <v>132</v>
      </c>
    </row>
    <row r="10" ht="32.1" customHeight="1" spans="1:27">
      <c r="C10" s="55"/>
      <c r="D10" s="55"/>
      <c r="E10" s="55"/>
      <c r="F10" s="59"/>
      <c r="G10" s="59"/>
      <c r="H10" s="59"/>
      <c r="I10" s="59"/>
      <c r="J10" s="57"/>
      <c r="K10" s="57" t="s">
        <v>77</v>
      </c>
      <c r="L10" s="60">
        <f ca="1">'7年本地'!V23</f>
        <v>19</v>
      </c>
      <c r="M10" s="60">
        <f ca="1">'7年本地'!V46</f>
        <v>46</v>
      </c>
      <c r="N10" s="60">
        <f ca="1">'7年本地'!V69</f>
        <v>113</v>
      </c>
      <c r="O10" s="60">
        <f ca="1">'7年本地'!V92</f>
        <v>109</v>
      </c>
      <c r="P10" s="60">
        <f ca="1">'7年区域'!V23</f>
        <v>33</v>
      </c>
      <c r="Q10" s="60">
        <f ca="1">'7年区域'!V46</f>
        <v>39</v>
      </c>
      <c r="R10" s="60">
        <f ca="1">'7年区域'!V69</f>
        <v>109.5</v>
      </c>
      <c r="S10" s="60">
        <f ca="1">'7年区域'!V92</f>
        <v>93</v>
      </c>
      <c r="T10" s="60">
        <f ca="1">'7年全国'!V23</f>
        <v>13</v>
      </c>
      <c r="U10" s="60">
        <f ca="1">'7年全国'!V46</f>
        <v>57</v>
      </c>
      <c r="V10" s="60">
        <f ca="1">'7年全国'!V69</f>
        <v>108</v>
      </c>
      <c r="W10" s="60">
        <f ca="1">'7年全国'!V92</f>
        <v>75</v>
      </c>
      <c r="X10" s="60">
        <f ca="1">'7年全球'!V23</f>
        <v>21</v>
      </c>
      <c r="Y10" s="60">
        <f ca="1">'7年全球'!V46</f>
        <v>65</v>
      </c>
      <c r="Z10" s="60">
        <f ca="1">'7年全球'!V69</f>
        <v>141</v>
      </c>
      <c r="AA10" s="60">
        <f ca="1">'7年全球'!V92</f>
        <v>129</v>
      </c>
    </row>
    <row r="11" ht="32.1" customHeight="1" spans="1:27">
      <c r="C11" s="61"/>
      <c r="D11" s="61"/>
      <c r="E11" s="61"/>
      <c r="F11" s="58" t="s">
        <v>89</v>
      </c>
      <c r="G11" s="59"/>
      <c r="H11" s="59"/>
      <c r="I11" s="59"/>
      <c r="J11" s="57"/>
      <c r="K11" s="57" t="s">
        <v>79</v>
      </c>
      <c r="L11" s="60">
        <f ca="1">'8年本地'!V23</f>
        <v>0</v>
      </c>
      <c r="M11" s="60">
        <f ca="1">'8年本地'!V46</f>
        <v>41</v>
      </c>
      <c r="N11" s="60">
        <f ca="1">'8年本地'!V69</f>
        <v>120</v>
      </c>
      <c r="O11" s="60">
        <f ca="1">'8年本地'!V92</f>
        <v>122</v>
      </c>
      <c r="P11" s="60">
        <f ca="1">'8年区域'!V23</f>
        <v>12</v>
      </c>
      <c r="Q11" s="60">
        <f ca="1">'8年区域'!V46</f>
        <v>69.5</v>
      </c>
      <c r="R11" s="60">
        <f ca="1">'8年区域'!V69</f>
        <v>127.5</v>
      </c>
      <c r="S11" s="60">
        <f ca="1">'8年区域'!V92</f>
        <v>138</v>
      </c>
      <c r="T11" s="60">
        <f ca="1">'8年全国'!V23</f>
        <v>23</v>
      </c>
      <c r="U11" s="60">
        <f ca="1">'8年全国'!V46</f>
        <v>42</v>
      </c>
      <c r="V11" s="60">
        <f ca="1">'8年全国'!V69</f>
        <v>151</v>
      </c>
      <c r="W11" s="60">
        <f ca="1">'8年全国'!V92</f>
        <v>155</v>
      </c>
      <c r="X11" s="60">
        <f ca="1">'8年全球'!V23</f>
        <v>15</v>
      </c>
      <c r="Y11" s="60">
        <f ca="1">'8年全球'!V46</f>
        <v>48</v>
      </c>
      <c r="Z11" s="60">
        <f ca="1">'8年全球'!V69</f>
        <v>129</v>
      </c>
      <c r="AA11" s="60">
        <f ca="1">'8年全球'!V92</f>
        <v>120</v>
      </c>
    </row>
    <row r="12" ht="32.1" customHeight="1" spans="1:27">
      <c r="C12" s="55"/>
      <c r="D12" s="55"/>
      <c r="E12" s="55"/>
      <c r="F12" s="59"/>
      <c r="G12" s="59"/>
      <c r="H12" s="59"/>
      <c r="I12" s="59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ht="32.1" customHeight="1" spans="1:27">
      <c r="C13" s="61"/>
      <c r="D13" s="61"/>
      <c r="E13" s="61"/>
      <c r="F13" s="59"/>
      <c r="G13" s="59"/>
      <c r="H13" s="59"/>
      <c r="I13" s="59"/>
      <c r="J13" s="62" t="s">
        <v>90</v>
      </c>
      <c r="K13" s="62"/>
      <c r="L13" s="62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ht="32.1" customHeight="1" spans="1:27">
      <c r="C14" s="55"/>
      <c r="D14" s="55"/>
      <c r="E14" s="55"/>
      <c r="F14" s="59"/>
      <c r="G14" s="59"/>
      <c r="H14" s="59"/>
      <c r="I14" s="59"/>
      <c r="J14" s="62"/>
      <c r="K14" s="62"/>
      <c r="L14" s="62"/>
      <c r="M14" s="55"/>
      <c r="N14" s="63" t="s">
        <v>91</v>
      </c>
      <c r="O14" s="64">
        <v>8</v>
      </c>
      <c r="Q14" s="6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ht="32.1" customHeight="1" spans="1:27">
      <c r="C15" s="61"/>
      <c r="D15" s="61"/>
      <c r="E15" s="61"/>
      <c r="F15" s="59"/>
      <c r="G15" s="59"/>
      <c r="H15" s="59"/>
      <c r="I15" s="59"/>
      <c r="J15" s="66"/>
      <c r="K15" s="8" t="s">
        <v>32</v>
      </c>
      <c r="L15" s="8"/>
      <c r="M15" s="8"/>
      <c r="N15" s="8"/>
      <c r="O15" s="8"/>
      <c r="P15" s="8"/>
      <c r="Q15" s="67"/>
      <c r="T15" s="61"/>
      <c r="U15" s="61"/>
      <c r="V15" s="61"/>
      <c r="W15" s="61"/>
      <c r="X15" s="61"/>
      <c r="Y15" s="61"/>
      <c r="Z15" s="61"/>
      <c r="AA15" s="61"/>
    </row>
    <row r="16" ht="32.1" customHeight="1" spans="1:27">
      <c r="C16" s="55"/>
      <c r="D16" s="55"/>
      <c r="E16" s="55"/>
      <c r="F16" s="59"/>
      <c r="G16" s="59"/>
      <c r="H16" s="59"/>
      <c r="I16" s="59"/>
      <c r="J16" s="66"/>
      <c r="K16" s="57" t="s">
        <v>66</v>
      </c>
      <c r="L16" s="57" t="s">
        <v>92</v>
      </c>
      <c r="M16" s="57" t="s">
        <v>93</v>
      </c>
      <c r="N16" s="57" t="s">
        <v>94</v>
      </c>
      <c r="O16" s="57" t="s">
        <v>95</v>
      </c>
      <c r="P16" s="68" t="s">
        <v>96</v>
      </c>
      <c r="Q16" s="69"/>
      <c r="R16" s="57" t="s">
        <v>97</v>
      </c>
      <c r="S16" s="57" t="s">
        <v>1</v>
      </c>
      <c r="T16" s="55"/>
      <c r="U16" s="55"/>
      <c r="V16" s="55"/>
      <c r="W16" s="55"/>
      <c r="X16" s="55"/>
      <c r="Y16" s="55"/>
      <c r="Z16" s="55"/>
      <c r="AA16" s="55"/>
    </row>
    <row r="17" ht="32.1" customHeight="1" spans="3:27">
      <c r="C17" s="61"/>
      <c r="D17" s="61"/>
      <c r="E17" s="61"/>
      <c r="F17" s="59"/>
      <c r="G17" s="59"/>
      <c r="H17" s="59"/>
      <c r="I17" s="59"/>
      <c r="J17" s="70"/>
      <c r="K17" s="71" t="s">
        <v>36</v>
      </c>
      <c r="L17" s="72">
        <v>11</v>
      </c>
      <c r="M17" s="72">
        <v>1</v>
      </c>
      <c r="N17" s="72">
        <v>0</v>
      </c>
      <c r="O17" s="72">
        <v>0</v>
      </c>
      <c r="P17" s="73">
        <f t="shared" ref="P17:P24" si="0">SUM(L17:O17)</f>
        <v>12</v>
      </c>
      <c r="Q17" s="69"/>
      <c r="R17" s="71" t="s">
        <v>36</v>
      </c>
      <c r="S17" s="57">
        <f>P17+P27+P37+P47</f>
        <v>12</v>
      </c>
      <c r="T17" s="61"/>
      <c r="U17" s="61"/>
      <c r="V17" s="61"/>
      <c r="W17" s="61"/>
      <c r="X17" s="61"/>
      <c r="Y17" s="61"/>
      <c r="Z17" s="61"/>
      <c r="AA17" s="61"/>
    </row>
    <row r="18" ht="32.1" customHeight="1" spans="3:27">
      <c r="C18" s="61"/>
      <c r="D18" s="61"/>
      <c r="E18" s="61"/>
      <c r="F18" s="59"/>
      <c r="G18" s="59"/>
      <c r="H18" s="59"/>
      <c r="I18" s="59"/>
      <c r="J18" s="70"/>
      <c r="K18" s="71" t="s">
        <v>67</v>
      </c>
      <c r="L18" s="72">
        <v>5</v>
      </c>
      <c r="M18" s="72">
        <v>2</v>
      </c>
      <c r="N18" s="72">
        <v>0</v>
      </c>
      <c r="O18" s="72">
        <v>0</v>
      </c>
      <c r="P18" s="73">
        <f t="shared" si="0"/>
        <v>7</v>
      </c>
      <c r="Q18" s="69"/>
      <c r="R18" s="71" t="s">
        <v>67</v>
      </c>
      <c r="S18" s="57">
        <f>P18+P28+P38+P48</f>
        <v>14</v>
      </c>
      <c r="T18" s="61"/>
      <c r="U18" s="61"/>
      <c r="V18" s="61"/>
      <c r="W18" s="61"/>
      <c r="X18" s="61"/>
      <c r="Y18" s="61"/>
      <c r="Z18" s="61"/>
      <c r="AA18" s="61"/>
    </row>
    <row r="19" ht="32.1" customHeight="1" spans="3:27">
      <c r="C19" s="61"/>
      <c r="D19" s="61"/>
      <c r="E19" s="61"/>
      <c r="F19" s="58" t="s">
        <v>98</v>
      </c>
      <c r="G19" s="59"/>
      <c r="H19" s="59"/>
      <c r="I19" s="59"/>
      <c r="J19" s="70"/>
      <c r="K19" s="71" t="s">
        <v>69</v>
      </c>
      <c r="L19" s="72">
        <v>2</v>
      </c>
      <c r="M19" s="72">
        <v>2</v>
      </c>
      <c r="N19" s="72">
        <v>2</v>
      </c>
      <c r="O19" s="72">
        <v>1</v>
      </c>
      <c r="P19" s="73">
        <f t="shared" si="0"/>
        <v>7</v>
      </c>
      <c r="Q19" s="69"/>
      <c r="R19" s="71" t="s">
        <v>69</v>
      </c>
      <c r="S19" s="57">
        <f t="shared" ref="S19:S24" si="1">P19+P29+P39+P49</f>
        <v>32</v>
      </c>
      <c r="T19" s="61"/>
      <c r="U19" s="61"/>
      <c r="V19" s="61"/>
      <c r="W19" s="61"/>
      <c r="X19" s="61"/>
      <c r="Y19" s="61"/>
      <c r="Z19" s="61"/>
      <c r="AA19" s="61"/>
    </row>
    <row r="20" ht="32.1" customHeight="1" spans="3:27">
      <c r="C20" s="61"/>
      <c r="D20" s="61"/>
      <c r="E20" s="61"/>
      <c r="F20" s="59"/>
      <c r="G20" s="59"/>
      <c r="H20" s="59"/>
      <c r="I20" s="59"/>
      <c r="J20" s="70"/>
      <c r="K20" s="74" t="s">
        <v>71</v>
      </c>
      <c r="L20" s="72">
        <v>3</v>
      </c>
      <c r="M20" s="72">
        <v>4</v>
      </c>
      <c r="N20" s="72">
        <v>2</v>
      </c>
      <c r="O20" s="72">
        <v>2</v>
      </c>
      <c r="P20" s="73">
        <f t="shared" si="0"/>
        <v>11</v>
      </c>
      <c r="Q20" s="69"/>
      <c r="R20" s="74" t="s">
        <v>71</v>
      </c>
      <c r="S20" s="57">
        <f t="shared" si="1"/>
        <v>42</v>
      </c>
      <c r="T20" s="61"/>
      <c r="U20" s="61"/>
      <c r="V20" s="61"/>
      <c r="W20" s="61"/>
      <c r="X20" s="61"/>
      <c r="Y20" s="61"/>
      <c r="Z20" s="61"/>
      <c r="AA20" s="61"/>
    </row>
    <row r="21" ht="32.1" customHeight="1" spans="3:27">
      <c r="C21" s="61"/>
      <c r="D21" s="61"/>
      <c r="E21" s="61"/>
      <c r="F21" s="59"/>
      <c r="G21" s="59"/>
      <c r="H21" s="59"/>
      <c r="I21" s="59"/>
      <c r="J21" s="70"/>
      <c r="K21" s="74" t="s">
        <v>73</v>
      </c>
      <c r="L21" s="72">
        <v>1</v>
      </c>
      <c r="M21" s="72">
        <v>3</v>
      </c>
      <c r="N21" s="72">
        <v>4</v>
      </c>
      <c r="O21" s="72">
        <v>3</v>
      </c>
      <c r="P21" s="73">
        <f t="shared" si="0"/>
        <v>11</v>
      </c>
      <c r="Q21" s="69"/>
      <c r="R21" s="74" t="s">
        <v>73</v>
      </c>
      <c r="S21" s="57">
        <f t="shared" si="1"/>
        <v>43</v>
      </c>
      <c r="T21" s="61"/>
      <c r="U21" s="61"/>
      <c r="V21" s="61"/>
      <c r="W21" s="61"/>
      <c r="X21" s="61"/>
      <c r="Y21" s="61"/>
      <c r="Z21" s="61"/>
      <c r="AA21" s="61"/>
    </row>
    <row r="22" ht="32.1" customHeight="1" spans="3:27">
      <c r="C22" s="61"/>
      <c r="D22" s="61"/>
      <c r="E22" s="61"/>
      <c r="F22" s="59"/>
      <c r="G22" s="59"/>
      <c r="H22" s="59"/>
      <c r="I22" s="59"/>
      <c r="J22" s="70"/>
      <c r="K22" s="75" t="s">
        <v>75</v>
      </c>
      <c r="L22" s="72">
        <v>1</v>
      </c>
      <c r="M22" s="72">
        <v>3</v>
      </c>
      <c r="N22" s="72">
        <v>4</v>
      </c>
      <c r="O22" s="72">
        <v>4</v>
      </c>
      <c r="P22" s="73">
        <f t="shared" si="0"/>
        <v>12</v>
      </c>
      <c r="Q22" s="69"/>
      <c r="R22" s="75" t="s">
        <v>75</v>
      </c>
      <c r="S22" s="57">
        <f t="shared" si="1"/>
        <v>48</v>
      </c>
      <c r="T22" s="61"/>
      <c r="U22" s="61"/>
      <c r="V22" s="61"/>
      <c r="W22" s="61"/>
      <c r="X22" s="61"/>
      <c r="Y22" s="61"/>
      <c r="Z22" s="61"/>
      <c r="AA22" s="61"/>
    </row>
    <row r="23" ht="32.1" customHeight="1" spans="3:27">
      <c r="C23" s="61"/>
      <c r="D23" s="61"/>
      <c r="E23" s="61"/>
      <c r="F23" s="59"/>
      <c r="G23" s="59"/>
      <c r="H23" s="59"/>
      <c r="I23" s="59"/>
      <c r="J23" s="70"/>
      <c r="K23" s="75" t="s">
        <v>77</v>
      </c>
      <c r="L23" s="72">
        <v>1</v>
      </c>
      <c r="M23" s="72">
        <v>2</v>
      </c>
      <c r="N23" s="72">
        <v>5</v>
      </c>
      <c r="O23" s="72">
        <v>3</v>
      </c>
      <c r="P23" s="73">
        <f t="shared" si="0"/>
        <v>11</v>
      </c>
      <c r="Q23" s="69"/>
      <c r="R23" s="75" t="s">
        <v>77</v>
      </c>
      <c r="S23" s="57">
        <f t="shared" si="1"/>
        <v>45</v>
      </c>
      <c r="T23" s="61"/>
      <c r="U23" s="61"/>
      <c r="V23" s="61"/>
      <c r="W23" s="61"/>
      <c r="X23" s="61"/>
      <c r="Y23" s="61"/>
      <c r="Z23" s="61"/>
      <c r="AA23" s="61"/>
    </row>
    <row r="24" ht="32.1" customHeight="1" spans="3:27">
      <c r="C24" s="61"/>
      <c r="D24" s="61"/>
      <c r="E24" s="61"/>
      <c r="F24" s="59"/>
      <c r="G24" s="59"/>
      <c r="H24" s="59"/>
      <c r="I24" s="59"/>
      <c r="J24" s="70"/>
      <c r="K24" s="75" t="s">
        <v>79</v>
      </c>
      <c r="L24" s="72">
        <v>0</v>
      </c>
      <c r="M24" s="72">
        <v>2</v>
      </c>
      <c r="N24" s="72">
        <v>5</v>
      </c>
      <c r="O24" s="72">
        <v>4</v>
      </c>
      <c r="P24" s="73">
        <f t="shared" si="0"/>
        <v>11</v>
      </c>
      <c r="Q24" s="69"/>
      <c r="R24" s="75" t="s">
        <v>79</v>
      </c>
      <c r="S24" s="57">
        <f t="shared" si="1"/>
        <v>47</v>
      </c>
      <c r="T24" s="61"/>
      <c r="U24" s="61"/>
      <c r="V24" s="61"/>
      <c r="W24" s="61"/>
      <c r="X24" s="61"/>
      <c r="Y24" s="61"/>
      <c r="Z24" s="61"/>
      <c r="AA24" s="61"/>
    </row>
    <row r="25" ht="32.1" customHeight="1" spans="3:27">
      <c r="C25" s="61"/>
      <c r="D25" s="61"/>
      <c r="E25" s="61"/>
      <c r="F25" s="59"/>
      <c r="G25" s="59"/>
      <c r="H25" s="59"/>
      <c r="I25" s="59"/>
      <c r="J25" s="61"/>
      <c r="K25" s="9" t="s">
        <v>82</v>
      </c>
      <c r="L25" s="9"/>
      <c r="M25" s="9"/>
      <c r="N25" s="9"/>
      <c r="O25" s="9"/>
      <c r="P25" s="9"/>
      <c r="Q25" s="67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ht="32.1" customHeight="1" spans="3:27">
      <c r="C26" s="61"/>
      <c r="D26" s="61"/>
      <c r="E26" s="61"/>
      <c r="F26" s="59"/>
      <c r="G26" s="59"/>
      <c r="H26" s="59"/>
      <c r="I26" s="59"/>
      <c r="J26" s="61"/>
      <c r="K26" s="57" t="s">
        <v>66</v>
      </c>
      <c r="L26" s="57" t="s">
        <v>92</v>
      </c>
      <c r="M26" s="57" t="s">
        <v>93</v>
      </c>
      <c r="N26" s="57" t="s">
        <v>94</v>
      </c>
      <c r="O26" s="57" t="s">
        <v>95</v>
      </c>
      <c r="P26" s="68" t="s">
        <v>96</v>
      </c>
      <c r="Q26" s="69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ht="32.1" customHeight="1" spans="3:27">
      <c r="C27" s="61"/>
      <c r="D27" s="61"/>
      <c r="E27" s="61"/>
      <c r="F27" s="58" t="s">
        <v>99</v>
      </c>
      <c r="G27" s="59"/>
      <c r="H27" s="59"/>
      <c r="I27" s="59"/>
      <c r="J27" s="61"/>
      <c r="K27" s="71" t="s">
        <v>36</v>
      </c>
      <c r="L27" s="72">
        <v>0</v>
      </c>
      <c r="M27" s="72">
        <v>0</v>
      </c>
      <c r="N27" s="72">
        <v>0</v>
      </c>
      <c r="O27" s="72">
        <v>0</v>
      </c>
      <c r="P27" s="73">
        <f t="shared" ref="P25:P54" si="2">SUM(L27:O27)</f>
        <v>0</v>
      </c>
      <c r="Q27" s="69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ht="32.1" customHeight="1" spans="3:27">
      <c r="C28" s="61"/>
      <c r="D28" s="61"/>
      <c r="E28" s="61"/>
      <c r="F28" s="59"/>
      <c r="G28" s="59"/>
      <c r="H28" s="59"/>
      <c r="I28" s="59"/>
      <c r="J28" s="61"/>
      <c r="K28" s="71" t="s">
        <v>67</v>
      </c>
      <c r="L28" s="72">
        <v>5</v>
      </c>
      <c r="M28" s="72">
        <v>2</v>
      </c>
      <c r="N28" s="72">
        <v>0</v>
      </c>
      <c r="O28" s="72">
        <v>0</v>
      </c>
      <c r="P28" s="73">
        <f t="shared" si="2"/>
        <v>7</v>
      </c>
      <c r="Q28" s="69"/>
      <c r="S28" s="61"/>
      <c r="T28" s="61"/>
      <c r="U28" s="61"/>
      <c r="V28" s="61"/>
      <c r="W28" s="61"/>
      <c r="X28" s="61"/>
      <c r="Y28" s="61"/>
      <c r="Z28" s="61"/>
      <c r="AA28" s="61"/>
    </row>
    <row r="29" ht="32.1" customHeight="1" spans="3:27">
      <c r="C29" s="61"/>
      <c r="D29" s="61"/>
      <c r="E29" s="61"/>
      <c r="F29" s="59"/>
      <c r="G29" s="59"/>
      <c r="H29" s="59"/>
      <c r="I29" s="59"/>
      <c r="J29" s="61"/>
      <c r="K29" s="71" t="s">
        <v>69</v>
      </c>
      <c r="L29" s="72">
        <v>4</v>
      </c>
      <c r="M29" s="72">
        <v>2</v>
      </c>
      <c r="N29" s="72">
        <v>1</v>
      </c>
      <c r="O29" s="72">
        <v>2</v>
      </c>
      <c r="P29" s="73">
        <f t="shared" si="2"/>
        <v>9</v>
      </c>
      <c r="Q29" s="69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ht="32.1" customHeight="1" spans="3:27">
      <c r="C30" s="61"/>
      <c r="D30" s="61"/>
      <c r="E30" s="61"/>
      <c r="F30" s="59"/>
      <c r="G30" s="59"/>
      <c r="H30" s="59"/>
      <c r="I30" s="59"/>
      <c r="J30" s="61"/>
      <c r="K30" s="74" t="s">
        <v>71</v>
      </c>
      <c r="L30" s="72">
        <v>3</v>
      </c>
      <c r="M30" s="72">
        <v>3</v>
      </c>
      <c r="N30" s="72">
        <v>2</v>
      </c>
      <c r="O30" s="72">
        <v>2</v>
      </c>
      <c r="P30" s="73">
        <f t="shared" si="2"/>
        <v>10</v>
      </c>
      <c r="Q30" s="69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ht="32.1" customHeight="1" spans="3:27">
      <c r="C31" s="61"/>
      <c r="D31" s="61"/>
      <c r="E31" s="61"/>
      <c r="F31" s="59"/>
      <c r="G31" s="59"/>
      <c r="H31" s="59"/>
      <c r="I31" s="59"/>
      <c r="J31" s="61"/>
      <c r="K31" s="74" t="s">
        <v>73</v>
      </c>
      <c r="L31" s="72">
        <v>1</v>
      </c>
      <c r="M31" s="72">
        <v>2</v>
      </c>
      <c r="N31" s="72">
        <v>4</v>
      </c>
      <c r="O31" s="72">
        <v>3</v>
      </c>
      <c r="P31" s="73">
        <f t="shared" si="2"/>
        <v>10</v>
      </c>
      <c r="Q31" s="69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ht="32.1" customHeight="1" spans="3:27">
      <c r="C32" s="55"/>
      <c r="D32" s="55"/>
      <c r="E32" s="55"/>
      <c r="F32" s="59"/>
      <c r="G32" s="59"/>
      <c r="H32" s="59"/>
      <c r="I32" s="59"/>
      <c r="J32" s="55"/>
      <c r="K32" s="75" t="s">
        <v>75</v>
      </c>
      <c r="L32" s="72">
        <v>1</v>
      </c>
      <c r="M32" s="72">
        <v>3</v>
      </c>
      <c r="N32" s="72">
        <v>4</v>
      </c>
      <c r="O32" s="72">
        <v>4</v>
      </c>
      <c r="P32" s="73">
        <f t="shared" si="2"/>
        <v>12</v>
      </c>
      <c r="Q32" s="69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ht="32.1" customHeight="1" spans="1:27">
      <c r="C33" s="61"/>
      <c r="D33" s="61"/>
      <c r="E33" s="61"/>
      <c r="F33" s="59"/>
      <c r="G33" s="59"/>
      <c r="H33" s="59"/>
      <c r="I33" s="59"/>
      <c r="J33" s="61"/>
      <c r="K33" s="75" t="s">
        <v>77</v>
      </c>
      <c r="L33" s="72">
        <v>2</v>
      </c>
      <c r="M33" s="72">
        <v>2</v>
      </c>
      <c r="N33" s="72">
        <v>4</v>
      </c>
      <c r="O33" s="72">
        <v>3</v>
      </c>
      <c r="P33" s="73">
        <f t="shared" si="2"/>
        <v>11</v>
      </c>
      <c r="Q33" s="69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ht="32.1" customHeight="1" spans="1:27">
      <c r="C34" s="55"/>
      <c r="D34" s="55"/>
      <c r="E34" s="55"/>
      <c r="F34" s="59"/>
      <c r="G34" s="59"/>
      <c r="H34" s="59"/>
      <c r="I34" s="59"/>
      <c r="J34" s="55"/>
      <c r="K34" s="75" t="s">
        <v>79</v>
      </c>
      <c r="L34" s="72">
        <v>1</v>
      </c>
      <c r="M34" s="72">
        <v>3</v>
      </c>
      <c r="N34" s="72">
        <v>5</v>
      </c>
      <c r="O34" s="72">
        <v>4</v>
      </c>
      <c r="P34" s="73">
        <f t="shared" si="2"/>
        <v>13</v>
      </c>
      <c r="Q34" s="69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ht="32.1" customHeight="1" spans="1:27">
      <c r="A35" s="54" t="s">
        <v>100</v>
      </c>
      <c r="B35" s="54"/>
      <c r="C35" s="54"/>
      <c r="D35" s="54"/>
      <c r="E35" s="54"/>
      <c r="F35" s="54"/>
      <c r="G35" s="54"/>
      <c r="H35" s="54"/>
      <c r="I35" s="54"/>
      <c r="J35" s="55"/>
      <c r="K35" s="8" t="s">
        <v>33</v>
      </c>
      <c r="L35" s="8"/>
      <c r="M35" s="8"/>
      <c r="N35" s="8"/>
      <c r="O35" s="8"/>
      <c r="P35" s="8"/>
      <c r="Q35" s="67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ht="32.1" customHeight="1" spans="1:27">
      <c r="C36" s="55"/>
      <c r="D36" s="55"/>
      <c r="E36" s="55"/>
      <c r="F36" s="55"/>
      <c r="G36" s="55"/>
      <c r="H36" s="55"/>
      <c r="I36" s="55"/>
      <c r="J36" s="55"/>
      <c r="K36" s="57" t="s">
        <v>66</v>
      </c>
      <c r="L36" s="57" t="s">
        <v>92</v>
      </c>
      <c r="M36" s="57" t="s">
        <v>93</v>
      </c>
      <c r="N36" s="57" t="s">
        <v>94</v>
      </c>
      <c r="O36" s="57" t="s">
        <v>95</v>
      </c>
      <c r="P36" s="68" t="s">
        <v>96</v>
      </c>
      <c r="Q36" s="69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ht="32.1" customHeight="1" spans="1:27">
      <c r="C37" s="55"/>
      <c r="D37" s="55"/>
      <c r="E37" s="55"/>
      <c r="F37" s="58" t="s">
        <v>101</v>
      </c>
      <c r="G37" s="59"/>
      <c r="H37" s="59"/>
      <c r="I37" s="59"/>
      <c r="J37" s="55"/>
      <c r="K37" s="71" t="s">
        <v>36</v>
      </c>
      <c r="L37" s="72">
        <v>0</v>
      </c>
      <c r="M37" s="72">
        <v>0</v>
      </c>
      <c r="N37" s="72">
        <v>0</v>
      </c>
      <c r="O37" s="72">
        <v>0</v>
      </c>
      <c r="P37" s="73">
        <f t="shared" si="2"/>
        <v>0</v>
      </c>
      <c r="Q37" s="69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ht="32.1" customHeight="1" spans="1:27">
      <c r="C38" s="55"/>
      <c r="D38" s="55"/>
      <c r="E38" s="55"/>
      <c r="F38" s="59"/>
      <c r="G38" s="59"/>
      <c r="H38" s="59"/>
      <c r="I38" s="59"/>
      <c r="J38" s="55"/>
      <c r="K38" s="71" t="s">
        <v>67</v>
      </c>
      <c r="L38" s="72">
        <v>0</v>
      </c>
      <c r="M38" s="72">
        <v>0</v>
      </c>
      <c r="N38" s="72">
        <v>0</v>
      </c>
      <c r="O38" s="72">
        <v>0</v>
      </c>
      <c r="P38" s="73">
        <f t="shared" si="2"/>
        <v>0</v>
      </c>
      <c r="Q38" s="69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ht="32.1" customHeight="1" spans="1:27">
      <c r="C39" s="55"/>
      <c r="D39" s="55"/>
      <c r="E39" s="55"/>
      <c r="F39" s="59"/>
      <c r="G39" s="59"/>
      <c r="H39" s="59"/>
      <c r="I39" s="59"/>
      <c r="J39" s="55"/>
      <c r="K39" s="71" t="s">
        <v>69</v>
      </c>
      <c r="L39" s="72">
        <v>7</v>
      </c>
      <c r="M39" s="72">
        <v>5</v>
      </c>
      <c r="N39" s="72">
        <v>3</v>
      </c>
      <c r="O39" s="72">
        <v>1</v>
      </c>
      <c r="P39" s="73">
        <f t="shared" si="2"/>
        <v>16</v>
      </c>
      <c r="Q39" s="69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ht="32.1" customHeight="1" spans="1:27">
      <c r="C40" s="55"/>
      <c r="D40" s="55"/>
      <c r="E40" s="55"/>
      <c r="F40" s="59"/>
      <c r="G40" s="59"/>
      <c r="H40" s="59"/>
      <c r="I40" s="59"/>
      <c r="J40" s="55"/>
      <c r="K40" s="74" t="s">
        <v>71</v>
      </c>
      <c r="L40" s="72">
        <v>2</v>
      </c>
      <c r="M40" s="72">
        <v>4</v>
      </c>
      <c r="N40" s="72">
        <v>2</v>
      </c>
      <c r="O40" s="72">
        <v>2</v>
      </c>
      <c r="P40" s="73">
        <f t="shared" si="2"/>
        <v>10</v>
      </c>
      <c r="Q40" s="69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ht="32.1" customHeight="1" spans="1:27">
      <c r="C41" s="55"/>
      <c r="D41" s="55"/>
      <c r="E41" s="55"/>
      <c r="F41" s="59"/>
      <c r="G41" s="59"/>
      <c r="H41" s="59"/>
      <c r="I41" s="59"/>
      <c r="J41" s="55"/>
      <c r="K41" s="74" t="s">
        <v>73</v>
      </c>
      <c r="L41" s="72">
        <v>1</v>
      </c>
      <c r="M41" s="72">
        <v>3</v>
      </c>
      <c r="N41" s="72">
        <v>3</v>
      </c>
      <c r="O41" s="72">
        <v>3</v>
      </c>
      <c r="P41" s="73">
        <f t="shared" si="2"/>
        <v>10</v>
      </c>
      <c r="Q41" s="69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ht="32.1" customHeight="1" spans="1:27">
      <c r="C42" s="55"/>
      <c r="D42" s="55"/>
      <c r="E42" s="55"/>
      <c r="F42" s="59"/>
      <c r="G42" s="59"/>
      <c r="H42" s="59"/>
      <c r="I42" s="59"/>
      <c r="J42" s="55"/>
      <c r="K42" s="75" t="s">
        <v>75</v>
      </c>
      <c r="L42" s="72">
        <v>1</v>
      </c>
      <c r="M42" s="72">
        <v>3</v>
      </c>
      <c r="N42" s="72">
        <v>4</v>
      </c>
      <c r="O42" s="72">
        <v>4</v>
      </c>
      <c r="P42" s="73">
        <f t="shared" si="2"/>
        <v>12</v>
      </c>
      <c r="Q42" s="69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ht="32.1" customHeight="1" spans="1:27">
      <c r="C43" s="55"/>
      <c r="D43" s="55"/>
      <c r="E43" s="55"/>
      <c r="F43" s="59"/>
      <c r="G43" s="59"/>
      <c r="H43" s="59"/>
      <c r="I43" s="59"/>
      <c r="J43" s="55"/>
      <c r="K43" s="75" t="s">
        <v>77</v>
      </c>
      <c r="L43" s="72">
        <v>1</v>
      </c>
      <c r="M43" s="72">
        <v>3</v>
      </c>
      <c r="N43" s="72">
        <v>4</v>
      </c>
      <c r="O43" s="72">
        <v>3</v>
      </c>
      <c r="P43" s="73">
        <f t="shared" si="2"/>
        <v>11</v>
      </c>
      <c r="Q43" s="69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ht="32.1" customHeight="1" spans="1:27">
      <c r="C44" s="55"/>
      <c r="D44" s="55"/>
      <c r="E44" s="55"/>
      <c r="F44" s="59"/>
      <c r="G44" s="59"/>
      <c r="H44" s="59"/>
      <c r="I44" s="59"/>
      <c r="J44" s="55"/>
      <c r="K44" s="75" t="s">
        <v>79</v>
      </c>
      <c r="L44" s="72">
        <v>1</v>
      </c>
      <c r="M44" s="72">
        <v>2</v>
      </c>
      <c r="N44" s="72">
        <v>5</v>
      </c>
      <c r="O44" s="72">
        <v>4</v>
      </c>
      <c r="P44" s="73">
        <f t="shared" si="2"/>
        <v>12</v>
      </c>
      <c r="Q44" s="69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ht="32.1" customHeight="1" spans="1:27">
      <c r="C45" s="61"/>
      <c r="D45" s="61"/>
      <c r="E45" s="61"/>
      <c r="F45" s="58" t="s">
        <v>102</v>
      </c>
      <c r="G45" s="59"/>
      <c r="H45" s="59"/>
      <c r="I45" s="59"/>
      <c r="J45" s="55"/>
      <c r="K45" s="8" t="s">
        <v>35</v>
      </c>
      <c r="L45" s="8"/>
      <c r="M45" s="8"/>
      <c r="N45" s="8"/>
      <c r="O45" s="8"/>
      <c r="P45" s="8"/>
      <c r="Q45" s="67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ht="32.1" customHeight="1" spans="1:27">
      <c r="C46" s="55"/>
      <c r="D46" s="55"/>
      <c r="E46" s="55"/>
      <c r="F46" s="59"/>
      <c r="G46" s="59"/>
      <c r="H46" s="59"/>
      <c r="I46" s="59"/>
      <c r="J46" s="55"/>
      <c r="K46" s="57" t="s">
        <v>66</v>
      </c>
      <c r="L46" s="57" t="s">
        <v>92</v>
      </c>
      <c r="M46" s="57" t="s">
        <v>93</v>
      </c>
      <c r="N46" s="57" t="s">
        <v>94</v>
      </c>
      <c r="O46" s="57" t="s">
        <v>95</v>
      </c>
      <c r="P46" s="68" t="s">
        <v>96</v>
      </c>
      <c r="Q46" s="69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ht="32.1" customHeight="1" spans="1:27">
      <c r="C47" s="61"/>
      <c r="D47" s="61"/>
      <c r="E47" s="61"/>
      <c r="F47" s="59"/>
      <c r="G47" s="59"/>
      <c r="H47" s="59"/>
      <c r="I47" s="59"/>
      <c r="J47" s="55"/>
      <c r="K47" s="71" t="s">
        <v>36</v>
      </c>
      <c r="L47" s="72">
        <v>0</v>
      </c>
      <c r="M47" s="72">
        <v>0</v>
      </c>
      <c r="N47" s="72">
        <v>0</v>
      </c>
      <c r="O47" s="72">
        <v>0</v>
      </c>
      <c r="P47" s="73">
        <f t="shared" si="2"/>
        <v>0</v>
      </c>
      <c r="Q47" s="69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ht="32.1" customHeight="1" spans="1:27">
      <c r="C48" s="55"/>
      <c r="D48" s="55"/>
      <c r="E48" s="55"/>
      <c r="F48" s="59"/>
      <c r="G48" s="59"/>
      <c r="H48" s="59"/>
      <c r="I48" s="59"/>
      <c r="J48" s="55"/>
      <c r="K48" s="71" t="s">
        <v>67</v>
      </c>
      <c r="L48" s="72">
        <v>0</v>
      </c>
      <c r="M48" s="72">
        <v>0</v>
      </c>
      <c r="N48" s="72">
        <v>0</v>
      </c>
      <c r="O48" s="72">
        <v>0</v>
      </c>
      <c r="P48" s="73">
        <f t="shared" si="2"/>
        <v>0</v>
      </c>
      <c r="Q48" s="69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ht="32.1" customHeight="1" spans="3:27">
      <c r="C49" s="61"/>
      <c r="D49" s="61"/>
      <c r="E49" s="61"/>
      <c r="F49" s="59"/>
      <c r="G49" s="59"/>
      <c r="H49" s="59"/>
      <c r="I49" s="59"/>
      <c r="J49" s="55"/>
      <c r="K49" s="71" t="s">
        <v>69</v>
      </c>
      <c r="L49" s="72">
        <v>0</v>
      </c>
      <c r="M49" s="72">
        <v>0</v>
      </c>
      <c r="N49" s="72">
        <v>0</v>
      </c>
      <c r="O49" s="72">
        <v>0</v>
      </c>
      <c r="P49" s="73">
        <f t="shared" si="2"/>
        <v>0</v>
      </c>
      <c r="Q49" s="69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ht="32.1" customHeight="1" spans="3:27">
      <c r="C50" s="55"/>
      <c r="D50" s="55"/>
      <c r="E50" s="55"/>
      <c r="F50" s="59"/>
      <c r="G50" s="59"/>
      <c r="H50" s="59"/>
      <c r="I50" s="59"/>
      <c r="J50" s="55"/>
      <c r="K50" s="74" t="s">
        <v>71</v>
      </c>
      <c r="L50" s="72">
        <v>3</v>
      </c>
      <c r="M50" s="72">
        <v>4</v>
      </c>
      <c r="N50" s="72">
        <v>2</v>
      </c>
      <c r="O50" s="72">
        <v>2</v>
      </c>
      <c r="P50" s="73">
        <f t="shared" si="2"/>
        <v>11</v>
      </c>
      <c r="Q50" s="69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ht="32.1" customHeight="1" spans="3:27">
      <c r="C51" s="61"/>
      <c r="D51" s="61"/>
      <c r="E51" s="61"/>
      <c r="F51" s="59"/>
      <c r="G51" s="59"/>
      <c r="H51" s="59"/>
      <c r="I51" s="59"/>
      <c r="J51" s="55"/>
      <c r="K51" s="74" t="s">
        <v>73</v>
      </c>
      <c r="L51" s="72">
        <v>2</v>
      </c>
      <c r="M51" s="72">
        <v>3</v>
      </c>
      <c r="N51" s="72">
        <v>4</v>
      </c>
      <c r="O51" s="72">
        <v>3</v>
      </c>
      <c r="P51" s="73">
        <f t="shared" si="2"/>
        <v>12</v>
      </c>
      <c r="Q51" s="69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ht="32.1" customHeight="1" spans="3:27">
      <c r="C52" s="61"/>
      <c r="D52" s="61"/>
      <c r="E52" s="61"/>
      <c r="F52" s="59"/>
      <c r="G52" s="59"/>
      <c r="H52" s="59"/>
      <c r="I52" s="59"/>
      <c r="J52" s="55"/>
      <c r="K52" s="75" t="s">
        <v>75</v>
      </c>
      <c r="L52" s="72">
        <v>1</v>
      </c>
      <c r="M52" s="72">
        <v>3</v>
      </c>
      <c r="N52" s="72">
        <v>4</v>
      </c>
      <c r="O52" s="72">
        <v>4</v>
      </c>
      <c r="P52" s="73">
        <f t="shared" si="2"/>
        <v>12</v>
      </c>
      <c r="Q52" s="69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ht="32.1" customHeight="1" spans="3:27">
      <c r="C53" s="61"/>
      <c r="D53" s="61"/>
      <c r="E53" s="61"/>
      <c r="F53" s="58" t="s">
        <v>103</v>
      </c>
      <c r="G53" s="59"/>
      <c r="H53" s="59"/>
      <c r="I53" s="59"/>
      <c r="J53" s="55"/>
      <c r="K53" s="75" t="s">
        <v>77</v>
      </c>
      <c r="L53" s="72">
        <v>1</v>
      </c>
      <c r="M53" s="72">
        <v>3</v>
      </c>
      <c r="N53" s="72">
        <v>5</v>
      </c>
      <c r="O53" s="72">
        <v>3</v>
      </c>
      <c r="P53" s="73">
        <f t="shared" si="2"/>
        <v>12</v>
      </c>
      <c r="Q53" s="69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ht="32.1" customHeight="1" spans="3:27">
      <c r="C54" s="61"/>
      <c r="D54" s="61"/>
      <c r="E54" s="61"/>
      <c r="F54" s="59"/>
      <c r="G54" s="59"/>
      <c r="H54" s="59"/>
      <c r="I54" s="59"/>
      <c r="J54" s="55"/>
      <c r="K54" s="75" t="s">
        <v>79</v>
      </c>
      <c r="L54" s="72">
        <v>1</v>
      </c>
      <c r="M54" s="72">
        <v>2</v>
      </c>
      <c r="N54" s="72">
        <v>4</v>
      </c>
      <c r="O54" s="72">
        <v>4</v>
      </c>
      <c r="P54" s="73">
        <f t="shared" si="2"/>
        <v>11</v>
      </c>
      <c r="Q54" s="69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ht="32.1" customHeight="1" spans="3:27">
      <c r="C55" s="61"/>
      <c r="D55" s="61"/>
      <c r="E55" s="61"/>
      <c r="F55" s="59"/>
      <c r="G55" s="59"/>
      <c r="H55" s="59"/>
      <c r="I55" s="59"/>
      <c r="J55" s="55"/>
      <c r="K55" s="55"/>
      <c r="L55" s="55"/>
      <c r="M55" s="55"/>
      <c r="N55" s="55"/>
      <c r="O55" s="55"/>
      <c r="P55" s="55"/>
      <c r="Q55" s="69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ht="32.1" customHeight="1" spans="3:27">
      <c r="C56" s="61"/>
      <c r="D56" s="61"/>
      <c r="E56" s="61"/>
      <c r="F56" s="59"/>
      <c r="G56" s="59"/>
      <c r="H56" s="59"/>
      <c r="I56" s="59"/>
      <c r="J56" s="55"/>
      <c r="K56" s="55"/>
      <c r="L56" s="55"/>
      <c r="M56" s="55"/>
      <c r="N56" s="55"/>
      <c r="O56" s="55"/>
      <c r="P56" s="55"/>
      <c r="Q56" s="70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ht="32.1" customHeight="1" spans="3:27">
      <c r="C57" s="61"/>
      <c r="D57" s="61"/>
      <c r="E57" s="61"/>
      <c r="F57" s="59"/>
      <c r="G57" s="59"/>
      <c r="H57" s="59"/>
      <c r="I57" s="59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ht="32.1" customHeight="1" spans="3:27">
      <c r="C58" s="61"/>
      <c r="D58" s="61"/>
      <c r="E58" s="61"/>
      <c r="F58" s="59"/>
      <c r="G58" s="59"/>
      <c r="H58" s="59"/>
      <c r="I58" s="59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ht="32.1" customHeight="1" spans="3:27">
      <c r="C59" s="61"/>
      <c r="D59" s="61"/>
      <c r="E59" s="61"/>
      <c r="F59" s="59"/>
      <c r="G59" s="59"/>
      <c r="H59" s="59"/>
      <c r="I59" s="59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ht="32.1" customHeight="1" spans="3:27">
      <c r="C60" s="61"/>
      <c r="D60" s="61"/>
      <c r="E60" s="61"/>
      <c r="F60" s="59"/>
      <c r="G60" s="59"/>
      <c r="H60" s="59"/>
      <c r="I60" s="59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ht="32.1" customHeight="1" spans="3:27">
      <c r="C61" s="61"/>
      <c r="D61" s="61"/>
      <c r="E61" s="61"/>
      <c r="F61" s="58" t="s">
        <v>104</v>
      </c>
      <c r="G61" s="59"/>
      <c r="H61" s="59"/>
      <c r="I61" s="59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ht="32.1" customHeight="1" spans="3:27">
      <c r="C62" s="61"/>
      <c r="D62" s="61"/>
      <c r="E62" s="61"/>
      <c r="F62" s="59"/>
      <c r="G62" s="59"/>
      <c r="H62" s="59"/>
      <c r="I62" s="59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ht="32.1" customHeight="1" spans="3:27">
      <c r="C63" s="61"/>
      <c r="D63" s="61"/>
      <c r="E63" s="61"/>
      <c r="F63" s="59"/>
      <c r="G63" s="59"/>
      <c r="H63" s="59"/>
      <c r="I63" s="59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ht="32.1" customHeight="1" spans="3:27">
      <c r="C64" s="61"/>
      <c r="D64" s="61"/>
      <c r="E64" s="61"/>
      <c r="F64" s="59"/>
      <c r="G64" s="59"/>
      <c r="H64" s="59"/>
      <c r="I64" s="59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ht="32.1" customHeight="1" spans="1:27">
      <c r="C65" s="61"/>
      <c r="D65" s="61"/>
      <c r="E65" s="61"/>
      <c r="F65" s="59"/>
      <c r="G65" s="59"/>
      <c r="H65" s="59"/>
      <c r="I65" s="59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ht="32.1" customHeight="1" spans="1:27">
      <c r="C66" s="55"/>
      <c r="D66" s="55"/>
      <c r="E66" s="55"/>
      <c r="F66" s="59"/>
      <c r="G66" s="59"/>
      <c r="H66" s="59"/>
      <c r="I66" s="59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ht="32.1" customHeight="1" spans="1:27">
      <c r="C67" s="61"/>
      <c r="D67" s="61"/>
      <c r="E67" s="61"/>
      <c r="F67" s="59"/>
      <c r="G67" s="59"/>
      <c r="H67" s="59"/>
      <c r="I67" s="59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ht="32.1" customHeight="1" spans="1:27"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ht="32.1" customHeight="1" spans="1:27">
      <c r="A69" s="54" t="s">
        <v>105</v>
      </c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ht="32.1" customHeight="1" spans="1:27"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ht="32.1" customHeight="1" spans="1:27">
      <c r="C71" s="55"/>
      <c r="D71" s="55"/>
      <c r="E71" s="55"/>
      <c r="F71" s="58" t="s">
        <v>106</v>
      </c>
      <c r="G71" s="59"/>
      <c r="H71" s="59"/>
      <c r="I71" s="59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ht="32.1" customHeight="1" spans="1:27">
      <c r="C72" s="55"/>
      <c r="D72" s="55"/>
      <c r="E72" s="55"/>
      <c r="F72" s="59"/>
      <c r="G72" s="59"/>
      <c r="H72" s="59"/>
      <c r="I72" s="59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ht="32.1" customHeight="1" spans="1:27">
      <c r="C73" s="55"/>
      <c r="D73" s="55"/>
      <c r="E73" s="55"/>
      <c r="F73" s="59"/>
      <c r="G73" s="59"/>
      <c r="H73" s="59"/>
      <c r="I73" s="59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ht="32.1" customHeight="1" spans="1:27">
      <c r="C74" s="55"/>
      <c r="D74" s="55"/>
      <c r="E74" s="55"/>
      <c r="F74" s="59"/>
      <c r="G74" s="59"/>
      <c r="H74" s="59"/>
      <c r="I74" s="59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ht="32.1" customHeight="1" spans="1:27">
      <c r="C75" s="55"/>
      <c r="D75" s="55"/>
      <c r="E75" s="55"/>
      <c r="F75" s="59"/>
      <c r="G75" s="59"/>
      <c r="H75" s="59"/>
      <c r="I75" s="59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ht="32.1" customHeight="1" spans="1:27">
      <c r="C76" s="55"/>
      <c r="D76" s="55"/>
      <c r="E76" s="55"/>
      <c r="F76" s="59"/>
      <c r="G76" s="59"/>
      <c r="H76" s="59"/>
      <c r="I76" s="59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ht="32.1" customHeight="1" spans="1:27">
      <c r="C77" s="55"/>
      <c r="D77" s="55"/>
      <c r="E77" s="55"/>
      <c r="F77" s="59"/>
      <c r="G77" s="59"/>
      <c r="H77" s="59"/>
      <c r="I77" s="59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ht="32.1" customHeight="1" spans="1:27">
      <c r="C78" s="55"/>
      <c r="D78" s="55"/>
      <c r="E78" s="55"/>
      <c r="F78" s="59"/>
      <c r="G78" s="59"/>
      <c r="H78" s="59"/>
      <c r="I78" s="59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ht="32.1" customHeight="1" spans="1:27">
      <c r="C79" s="61"/>
      <c r="D79" s="61"/>
      <c r="E79" s="61"/>
      <c r="F79" s="58" t="s">
        <v>107</v>
      </c>
      <c r="G79" s="59"/>
      <c r="H79" s="59"/>
      <c r="I79" s="59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ht="32.1" customHeight="1" spans="1:27">
      <c r="C80" s="55"/>
      <c r="D80" s="55"/>
      <c r="E80" s="55"/>
      <c r="F80" s="59"/>
      <c r="G80" s="59"/>
      <c r="H80" s="59"/>
      <c r="I80" s="59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ht="32.1" customHeight="1" spans="3:39">
      <c r="C81" s="61"/>
      <c r="D81" s="61"/>
      <c r="E81" s="61"/>
      <c r="F81" s="59"/>
      <c r="G81" s="59"/>
      <c r="H81" s="59"/>
      <c r="I81" s="59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M81" t="s">
        <v>46</v>
      </c>
    </row>
    <row r="82" ht="32.1" customHeight="1" spans="3:39">
      <c r="C82" s="55"/>
      <c r="D82" s="55"/>
      <c r="E82" s="55"/>
      <c r="F82" s="59"/>
      <c r="G82" s="59"/>
      <c r="H82" s="59"/>
      <c r="I82" s="59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ht="32.1" customHeight="1" spans="3:39">
      <c r="C83" s="61"/>
      <c r="D83" s="61"/>
      <c r="E83" s="61"/>
      <c r="F83" s="59"/>
      <c r="G83" s="59"/>
      <c r="H83" s="59"/>
      <c r="I83" s="59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ht="32.1" customHeight="1" spans="3:39">
      <c r="C84" s="55"/>
      <c r="D84" s="55"/>
      <c r="E84" s="55"/>
      <c r="F84" s="59"/>
      <c r="G84" s="59"/>
      <c r="H84" s="59"/>
      <c r="I84" s="59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ht="32.1" customHeight="1" spans="3:39">
      <c r="C85" s="61"/>
      <c r="D85" s="61"/>
      <c r="E85" s="61"/>
      <c r="F85" s="59"/>
      <c r="G85" s="59"/>
      <c r="H85" s="59"/>
      <c r="I85" s="59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ht="32.1" customHeight="1" spans="3:39">
      <c r="C86" s="61"/>
      <c r="D86" s="61"/>
      <c r="E86" s="61"/>
      <c r="F86" s="59"/>
      <c r="G86" s="59"/>
      <c r="H86" s="59"/>
      <c r="I86" s="59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ht="32.1" customHeight="1" spans="3:39">
      <c r="C87" s="61"/>
      <c r="D87" s="61"/>
      <c r="E87" s="61"/>
      <c r="F87" s="58" t="s">
        <v>108</v>
      </c>
      <c r="G87" s="59"/>
      <c r="H87" s="59"/>
      <c r="I87" s="59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ht="32.1" customHeight="1" spans="3:39">
      <c r="C88" s="61"/>
      <c r="D88" s="61"/>
      <c r="E88" s="61"/>
      <c r="F88" s="59"/>
      <c r="G88" s="59"/>
      <c r="H88" s="59"/>
      <c r="I88" s="59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ht="32.1" customHeight="1" spans="3:39">
      <c r="C89" s="61"/>
      <c r="D89" s="61"/>
      <c r="E89" s="61"/>
      <c r="F89" s="59"/>
      <c r="G89" s="59"/>
      <c r="H89" s="59"/>
      <c r="I89" s="59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ht="32.1" customHeight="1" spans="3:39">
      <c r="C90" s="61"/>
      <c r="D90" s="61"/>
      <c r="E90" s="61"/>
      <c r="F90" s="59"/>
      <c r="G90" s="59"/>
      <c r="H90" s="59"/>
      <c r="I90" s="59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ht="32.1" customHeight="1" spans="3:39">
      <c r="C91" s="61"/>
      <c r="D91" s="61"/>
      <c r="E91" s="61"/>
      <c r="F91" s="59"/>
      <c r="G91" s="59"/>
      <c r="H91" s="59"/>
      <c r="I91" s="59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ht="32.1" customHeight="1" spans="3:39">
      <c r="C92" s="61"/>
      <c r="D92" s="61"/>
      <c r="E92" s="61"/>
      <c r="F92" s="59"/>
      <c r="G92" s="59"/>
      <c r="H92" s="59"/>
      <c r="I92" s="59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ht="32.1" customHeight="1" spans="3:39">
      <c r="C93" s="61"/>
      <c r="D93" s="61"/>
      <c r="E93" s="61"/>
      <c r="F93" s="59"/>
      <c r="G93" s="59"/>
      <c r="H93" s="59"/>
      <c r="I93" s="59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ht="32.1" customHeight="1" spans="3:39">
      <c r="C94" s="61"/>
      <c r="D94" s="61"/>
      <c r="E94" s="61"/>
      <c r="F94" s="59"/>
      <c r="G94" s="59"/>
      <c r="H94" s="59"/>
      <c r="I94" s="59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ht="32.1" customHeight="1" spans="3:39">
      <c r="C95" s="61"/>
      <c r="D95" s="61"/>
      <c r="E95" s="61"/>
      <c r="F95" s="58" t="s">
        <v>109</v>
      </c>
      <c r="G95" s="59"/>
      <c r="H95" s="59"/>
      <c r="I95" s="59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ht="32.1" customHeight="1" spans="3:39">
      <c r="C96" s="61"/>
      <c r="D96" s="61"/>
      <c r="E96" s="61"/>
      <c r="F96" s="59"/>
      <c r="G96" s="59"/>
      <c r="H96" s="59"/>
      <c r="I96" s="59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ht="32.1" customHeight="1" spans="3:27">
      <c r="C97" s="61"/>
      <c r="D97" s="61"/>
      <c r="E97" s="61"/>
      <c r="F97" s="59"/>
      <c r="G97" s="59"/>
      <c r="H97" s="59"/>
      <c r="I97" s="59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ht="32.1" customHeight="1" spans="3:27">
      <c r="C98" s="61"/>
      <c r="D98" s="61"/>
      <c r="E98" s="61"/>
      <c r="F98" s="59"/>
      <c r="G98" s="59"/>
      <c r="H98" s="59"/>
      <c r="I98" s="59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ht="32.1" customHeight="1" spans="3:27">
      <c r="C99" s="61"/>
      <c r="D99" s="61"/>
      <c r="E99" s="61"/>
      <c r="F99" s="59"/>
      <c r="G99" s="59"/>
      <c r="H99" s="59"/>
      <c r="I99" s="59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ht="32.1" customHeight="1" spans="3:27">
      <c r="C100" s="55"/>
      <c r="D100" s="55"/>
      <c r="E100" s="55"/>
      <c r="F100" s="59"/>
      <c r="G100" s="59"/>
      <c r="H100" s="59"/>
      <c r="I100" s="59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ht="32.1" customHeight="1" spans="3:27">
      <c r="C101" s="61"/>
      <c r="D101" s="61"/>
      <c r="E101" s="61"/>
      <c r="F101" s="59"/>
      <c r="G101" s="59"/>
      <c r="H101" s="59"/>
      <c r="I101" s="59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ht="32.1" customHeight="1" spans="3:27">
      <c r="C102" s="55"/>
      <c r="D102" s="55"/>
      <c r="E102" s="55"/>
      <c r="F102" s="76"/>
      <c r="G102" s="76"/>
      <c r="H102" s="76"/>
      <c r="I102" s="76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ht="32.1" customHeight="1" spans="3:27"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ht="32.1" customHeight="1" spans="3:27"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ht="32.1" customHeight="1" spans="3:27"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ht="32.1" customHeight="1" spans="3:27"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ht="18.75" spans="3:27">
      <c r="C107" s="55"/>
      <c r="D107" s="55"/>
      <c r="E107" s="55"/>
      <c r="F107" s="55"/>
      <c r="G107" s="55"/>
      <c r="H107" s="55"/>
      <c r="I107" s="55"/>
    </row>
    <row r="108" ht="18.75" spans="3:27">
      <c r="C108" s="55"/>
      <c r="D108" s="55"/>
      <c r="E108" s="55"/>
      <c r="F108" s="55"/>
      <c r="G108" s="55"/>
      <c r="H108" s="55"/>
      <c r="I108" s="55"/>
    </row>
    <row r="109" ht="18.75" spans="3:27">
      <c r="C109" s="55"/>
      <c r="D109" s="55"/>
      <c r="E109" s="55"/>
      <c r="F109" s="55"/>
      <c r="G109" s="55"/>
      <c r="H109" s="55"/>
      <c r="I109" s="55"/>
    </row>
    <row r="110" ht="18.75" spans="3:27">
      <c r="C110" s="55"/>
      <c r="D110" s="55"/>
      <c r="E110" s="55"/>
      <c r="F110" s="55"/>
      <c r="G110" s="55"/>
      <c r="H110" s="55"/>
      <c r="I110" s="55"/>
    </row>
    <row r="111" ht="18.75" spans="3:27">
      <c r="C111" s="55"/>
      <c r="D111" s="55"/>
      <c r="E111" s="55"/>
      <c r="F111" s="55"/>
      <c r="G111" s="55"/>
      <c r="H111" s="55"/>
      <c r="I111" s="55"/>
    </row>
    <row r="112" ht="18.75" spans="3:27">
      <c r="C112" s="55"/>
      <c r="D112" s="55"/>
      <c r="E112" s="55"/>
      <c r="F112" s="55"/>
      <c r="G112" s="55"/>
      <c r="H112" s="55"/>
      <c r="I112" s="55"/>
    </row>
    <row r="113" ht="18.75" spans="3:9">
      <c r="C113" s="55"/>
      <c r="D113" s="55"/>
      <c r="E113" s="55"/>
      <c r="F113" s="55"/>
      <c r="G113" s="55"/>
      <c r="H113" s="55"/>
      <c r="I113" s="55"/>
    </row>
    <row r="114" ht="18.75" spans="3:9">
      <c r="C114" s="55"/>
      <c r="D114" s="55"/>
      <c r="E114" s="55"/>
      <c r="F114" s="55"/>
      <c r="G114" s="55"/>
      <c r="H114" s="55"/>
      <c r="I114" s="55"/>
    </row>
    <row r="115" ht="18.75" spans="3:9">
      <c r="C115" s="55"/>
      <c r="D115" s="55"/>
      <c r="E115" s="55"/>
      <c r="F115" s="55"/>
      <c r="G115" s="55"/>
      <c r="H115" s="55"/>
      <c r="I115" s="55"/>
    </row>
  </sheetData>
  <mergeCells count="27">
    <mergeCell ref="A1:I1"/>
    <mergeCell ref="L2:O2"/>
    <mergeCell ref="P2:S2"/>
    <mergeCell ref="T2:W2"/>
    <mergeCell ref="X2:AA2"/>
    <mergeCell ref="K15:P15"/>
    <mergeCell ref="K25:P25"/>
    <mergeCell ref="A35:I35"/>
    <mergeCell ref="K35:P35"/>
    <mergeCell ref="K45:P45"/>
    <mergeCell ref="A69:I69"/>
    <mergeCell ref="F102:I102"/>
    <mergeCell ref="J4:J11"/>
    <mergeCell ref="J17:J24"/>
    <mergeCell ref="J13:L14"/>
    <mergeCell ref="F3:I10"/>
    <mergeCell ref="F11:I18"/>
    <mergeCell ref="F19:I26"/>
    <mergeCell ref="F27:I34"/>
    <mergeCell ref="F37:I44"/>
    <mergeCell ref="F45:I52"/>
    <mergeCell ref="F53:I60"/>
    <mergeCell ref="F61:I67"/>
    <mergeCell ref="F71:I78"/>
    <mergeCell ref="F79:I86"/>
    <mergeCell ref="F87:I94"/>
    <mergeCell ref="F95:I101"/>
  </mergeCells>
  <printOptions horizontalCentered="1"/>
  <pageMargins left="0.700694444444445" right="0.700694444444445" top="0.751388888888889" bottom="0.751388888888889" header="0.298611111111111" footer="0.298611111111111"/>
  <pageSetup paperSize="8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X92"/>
  <sheetViews>
    <sheetView view="pageBreakPreview" zoomScale="55" zoomScaleNormal="85" workbookViewId="0">
      <selection activeCell="AL7" sqref="AL7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15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11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11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15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15</v>
      </c>
      <c r="AB3" s="22" t="s">
        <v>121</v>
      </c>
      <c r="AC3" s="22"/>
      <c r="AD3" s="23"/>
      <c r="AE3" s="22"/>
      <c r="AF3" s="15"/>
      <c r="AG3" s="8" t="s">
        <v>50</v>
      </c>
      <c r="AH3" s="53"/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3</v>
      </c>
      <c r="D4" s="28"/>
      <c r="E4" s="29"/>
      <c r="F4" s="23"/>
      <c r="G4" s="19"/>
      <c r="H4" s="20" t="s">
        <v>123</v>
      </c>
      <c r="I4" s="27">
        <f ca="1">IF(D22&gt;=2,RANDBETWEEN(D23,J23),0)</f>
        <v>2</v>
      </c>
      <c r="J4" s="28"/>
      <c r="K4" s="29"/>
      <c r="L4" s="23"/>
      <c r="M4" s="19"/>
      <c r="N4" s="20" t="s">
        <v>123</v>
      </c>
      <c r="O4" s="27">
        <f ca="1">IF(D22&gt;=3,RANDBETWEEN(D23,J23),0)</f>
        <v>2</v>
      </c>
      <c r="P4" s="28"/>
      <c r="Q4" s="29"/>
      <c r="R4" s="23"/>
      <c r="S4" s="19"/>
      <c r="T4" s="20" t="s">
        <v>123</v>
      </c>
      <c r="U4" s="27">
        <f ca="1">IF(D22&gt;=4,RANDBETWEEN(D23,J23),0)</f>
        <v>3</v>
      </c>
      <c r="V4" s="28"/>
      <c r="W4" s="29"/>
      <c r="X4" s="23"/>
      <c r="Y4" s="19"/>
      <c r="Z4" s="20" t="s">
        <v>123</v>
      </c>
      <c r="AA4" s="27">
        <f ca="1">IF(D22&gt;=5,RANDBETWEEN(D23,J23),0)</f>
        <v>3</v>
      </c>
      <c r="AB4" s="28"/>
      <c r="AC4" s="29"/>
      <c r="AD4" s="23"/>
      <c r="AE4" s="22"/>
      <c r="AF4" s="15"/>
      <c r="AG4" s="8" t="s">
        <v>52</v>
      </c>
      <c r="AH4" s="53"/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</v>
      </c>
      <c r="D5" s="22" t="s">
        <v>121</v>
      </c>
      <c r="E5" s="22"/>
      <c r="F5" s="23"/>
      <c r="G5" s="19"/>
      <c r="H5" s="20" t="s">
        <v>124</v>
      </c>
      <c r="I5" s="30">
        <f ca="1">I3/I4</f>
        <v>5.5</v>
      </c>
      <c r="J5" s="22" t="s">
        <v>121</v>
      </c>
      <c r="K5" s="22"/>
      <c r="L5" s="23"/>
      <c r="M5" s="19"/>
      <c r="N5" s="20" t="s">
        <v>124</v>
      </c>
      <c r="O5" s="30">
        <f ca="1">O3/O4</f>
        <v>5.5</v>
      </c>
      <c r="P5" s="22" t="s">
        <v>121</v>
      </c>
      <c r="Q5" s="22"/>
      <c r="R5" s="23"/>
      <c r="S5" s="19"/>
      <c r="T5" s="20" t="s">
        <v>124</v>
      </c>
      <c r="U5" s="30">
        <f ca="1">U3/U4</f>
        <v>5</v>
      </c>
      <c r="V5" s="22" t="s">
        <v>121</v>
      </c>
      <c r="W5" s="22"/>
      <c r="X5" s="23"/>
      <c r="Y5" s="19"/>
      <c r="Z5" s="20" t="s">
        <v>124</v>
      </c>
      <c r="AA5" s="30">
        <f ca="1">AA3/AA4</f>
        <v>5</v>
      </c>
      <c r="AB5" s="22" t="s">
        <v>121</v>
      </c>
      <c r="AC5" s="22"/>
      <c r="AD5" s="23"/>
      <c r="AE5" s="22"/>
      <c r="AF5" s="15"/>
      <c r="AG5" s="8" t="s">
        <v>53</v>
      </c>
      <c r="AH5" s="53"/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4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4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2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3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2</v>
      </c>
      <c r="AB6" s="22" t="s">
        <v>126</v>
      </c>
      <c r="AC6" s="22"/>
      <c r="AD6" s="23"/>
      <c r="AE6" s="22"/>
      <c r="AF6" s="15"/>
      <c r="AG6" s="8" t="s">
        <v>54</v>
      </c>
      <c r="AH6" s="53"/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127</v>
      </c>
      <c r="C7" s="31"/>
      <c r="D7" s="31"/>
      <c r="E7" s="31"/>
      <c r="F7" s="32"/>
      <c r="G7" s="19"/>
      <c r="H7" s="31" t="s">
        <v>127</v>
      </c>
      <c r="I7" s="31"/>
      <c r="J7" s="31"/>
      <c r="K7" s="31"/>
      <c r="L7" s="32"/>
      <c r="M7" s="19"/>
      <c r="N7" s="31" t="s">
        <v>127</v>
      </c>
      <c r="O7" s="31"/>
      <c r="P7" s="31"/>
      <c r="Q7" s="31"/>
      <c r="R7" s="32"/>
      <c r="S7" s="19"/>
      <c r="T7" s="31" t="s">
        <v>127</v>
      </c>
      <c r="U7" s="31"/>
      <c r="V7" s="31"/>
      <c r="W7" s="31"/>
      <c r="X7" s="32"/>
      <c r="Y7" s="19"/>
      <c r="Z7" s="31" t="s">
        <v>127</v>
      </c>
      <c r="AA7" s="31"/>
      <c r="AB7" s="31"/>
      <c r="AC7" s="31"/>
      <c r="AD7" s="32"/>
      <c r="AE7" s="33"/>
      <c r="AF7" s="15"/>
      <c r="AG7" s="8" t="s">
        <v>55</v>
      </c>
      <c r="AH7" s="53"/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53"/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53"/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19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15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19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11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19</v>
      </c>
      <c r="AB10" s="22" t="s">
        <v>121</v>
      </c>
      <c r="AC10" s="22"/>
      <c r="AD10" s="23"/>
      <c r="AE10" s="22"/>
      <c r="AF10" s="15"/>
      <c r="AG10" s="8" t="s">
        <v>58</v>
      </c>
      <c r="AH10" s="53"/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4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3</v>
      </c>
      <c r="J11" s="28"/>
      <c r="K11" s="29"/>
      <c r="L11" s="23"/>
      <c r="M11" s="19"/>
      <c r="N11" s="20" t="s">
        <v>123</v>
      </c>
      <c r="O11" s="27">
        <f ca="1">IF(D22&gt;=8,RANDBETWEEN(D23,J23),0)</f>
        <v>4</v>
      </c>
      <c r="P11" s="28"/>
      <c r="Q11" s="29"/>
      <c r="R11" s="23"/>
      <c r="S11" s="19"/>
      <c r="T11" s="20" t="s">
        <v>123</v>
      </c>
      <c r="U11" s="27">
        <f ca="1">IF(D22&gt;=9,RANDBETWEEN(D23,J23),0)</f>
        <v>2</v>
      </c>
      <c r="V11" s="28"/>
      <c r="W11" s="29"/>
      <c r="X11" s="23"/>
      <c r="Y11" s="19"/>
      <c r="Z11" s="20" t="s">
        <v>123</v>
      </c>
      <c r="AA11" s="27">
        <f ca="1">IF(D22&gt;=10,RANDBETWEEN(D23,J23),0)</f>
        <v>4</v>
      </c>
      <c r="AB11" s="28"/>
      <c r="AC11" s="29"/>
      <c r="AD11" s="23"/>
      <c r="AE11" s="22"/>
      <c r="AF11" s="15"/>
      <c r="AG11" s="8" t="s">
        <v>59</v>
      </c>
      <c r="AH11" s="53"/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>
        <f ca="1">C10/C11</f>
        <v>4.75</v>
      </c>
      <c r="D12" s="22" t="s">
        <v>121</v>
      </c>
      <c r="E12" s="22"/>
      <c r="F12" s="23"/>
      <c r="G12" s="19"/>
      <c r="H12" s="20" t="s">
        <v>124</v>
      </c>
      <c r="I12" s="30">
        <f ca="1">I10/I11</f>
        <v>5</v>
      </c>
      <c r="J12" s="22" t="s">
        <v>121</v>
      </c>
      <c r="K12" s="22"/>
      <c r="L12" s="23"/>
      <c r="M12" s="19"/>
      <c r="N12" s="20" t="s">
        <v>124</v>
      </c>
      <c r="O12" s="30">
        <f ca="1">O10/O11</f>
        <v>4.75</v>
      </c>
      <c r="P12" s="22" t="s">
        <v>121</v>
      </c>
      <c r="Q12" s="22"/>
      <c r="R12" s="23"/>
      <c r="S12" s="19"/>
      <c r="T12" s="20" t="s">
        <v>124</v>
      </c>
      <c r="U12" s="30">
        <f ca="1">U10/U11</f>
        <v>5.5</v>
      </c>
      <c r="V12" s="22" t="s">
        <v>121</v>
      </c>
      <c r="W12" s="22"/>
      <c r="X12" s="23"/>
      <c r="Y12" s="19"/>
      <c r="Z12" s="20" t="s">
        <v>124</v>
      </c>
      <c r="AA12" s="30">
        <f ca="1">AA10/AA11</f>
        <v>4.75</v>
      </c>
      <c r="AB12" s="22" t="s">
        <v>121</v>
      </c>
      <c r="AC12" s="22"/>
      <c r="AD12" s="23"/>
      <c r="AE12" s="22"/>
      <c r="AF12" s="15"/>
      <c r="AG12" s="8" t="s">
        <v>60</v>
      </c>
      <c r="AH12" s="53"/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4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3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4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3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2</v>
      </c>
      <c r="AB13" s="22" t="s">
        <v>126</v>
      </c>
      <c r="AC13" s="22"/>
      <c r="AD13" s="23"/>
      <c r="AE13" s="22"/>
      <c r="AF13" s="15"/>
      <c r="AG13" s="8" t="s">
        <v>61</v>
      </c>
      <c r="AH13" s="53"/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127</v>
      </c>
      <c r="C14" s="31"/>
      <c r="D14" s="31"/>
      <c r="E14" s="31"/>
      <c r="F14" s="32"/>
      <c r="G14" s="19"/>
      <c r="H14" s="31" t="s">
        <v>127</v>
      </c>
      <c r="I14" s="31"/>
      <c r="J14" s="31"/>
      <c r="K14" s="31"/>
      <c r="L14" s="32"/>
      <c r="M14" s="19"/>
      <c r="N14" s="31" t="s">
        <v>127</v>
      </c>
      <c r="O14" s="31"/>
      <c r="P14" s="31"/>
      <c r="Q14" s="31"/>
      <c r="R14" s="32"/>
      <c r="S14" s="19"/>
      <c r="T14" s="31" t="s">
        <v>127</v>
      </c>
      <c r="U14" s="31"/>
      <c r="V14" s="31"/>
      <c r="W14" s="31"/>
      <c r="X14" s="32"/>
      <c r="Y14" s="19"/>
      <c r="Z14" s="31" t="s">
        <v>127</v>
      </c>
      <c r="AA14" s="31"/>
      <c r="AB14" s="31"/>
      <c r="AC14" s="31"/>
      <c r="AD14" s="32"/>
      <c r="AE14" s="33"/>
      <c r="AF14" s="15"/>
      <c r="AG14" s="8" t="s">
        <v>62</v>
      </c>
      <c r="AH14" s="53"/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53"/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53"/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19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53"/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4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>
        <f ca="1">C17/C18</f>
        <v>4.75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4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127</v>
      </c>
      <c r="C21" s="37"/>
      <c r="D21" s="37"/>
      <c r="E21" s="37"/>
      <c r="F21" s="38"/>
      <c r="G21" s="36"/>
      <c r="H21" s="37" t="s">
        <v>127</v>
      </c>
      <c r="I21" s="37"/>
      <c r="J21" s="37"/>
      <c r="K21" s="37"/>
      <c r="L21" s="38"/>
      <c r="M21" s="36"/>
      <c r="N21" s="37" t="s">
        <v>127</v>
      </c>
      <c r="O21" s="37"/>
      <c r="P21" s="37"/>
      <c r="Q21" s="37"/>
      <c r="R21" s="38"/>
      <c r="S21" s="36"/>
      <c r="T21" s="37" t="s">
        <v>127</v>
      </c>
      <c r="U21" s="37"/>
      <c r="V21" s="37"/>
      <c r="W21" s="37"/>
      <c r="X21" s="38"/>
      <c r="Y21" s="36"/>
      <c r="Z21" s="37" t="s">
        <v>127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市场预测!L17</f>
        <v>11</v>
      </c>
      <c r="E22" s="41"/>
      <c r="F22" s="41"/>
      <c r="G22" s="42"/>
      <c r="H22" s="12" t="s">
        <v>131</v>
      </c>
      <c r="I22" s="12"/>
      <c r="J22" s="43">
        <v>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34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4.25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169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13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0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2</v>
      </c>
      <c r="D27" s="28"/>
      <c r="E27" s="29"/>
      <c r="F27" s="23"/>
      <c r="G27" s="19"/>
      <c r="H27" s="20" t="s">
        <v>123</v>
      </c>
      <c r="I27" s="27">
        <f ca="1">IF(D45&gt;=2,RANDBETWEEN(D46,J46),0)</f>
        <v>0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6.5</v>
      </c>
      <c r="D28" s="22" t="s">
        <v>121</v>
      </c>
      <c r="E28" s="22"/>
      <c r="F28" s="23"/>
      <c r="G28" s="19"/>
      <c r="H28" s="20" t="s">
        <v>124</v>
      </c>
      <c r="I28" s="30" t="e">
        <f ca="1">I26/I27</f>
        <v>#DIV/0!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2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0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127</v>
      </c>
      <c r="C30" s="31"/>
      <c r="D30" s="31"/>
      <c r="E30" s="31"/>
      <c r="F30" s="32"/>
      <c r="G30" s="19"/>
      <c r="H30" s="31" t="s">
        <v>127</v>
      </c>
      <c r="I30" s="31"/>
      <c r="J30" s="31"/>
      <c r="K30" s="31"/>
      <c r="L30" s="32"/>
      <c r="M30" s="19"/>
      <c r="N30" s="31" t="s">
        <v>127</v>
      </c>
      <c r="O30" s="31"/>
      <c r="P30" s="31"/>
      <c r="Q30" s="31"/>
      <c r="R30" s="32"/>
      <c r="S30" s="19"/>
      <c r="T30" s="31" t="s">
        <v>127</v>
      </c>
      <c r="U30" s="31"/>
      <c r="V30" s="31"/>
      <c r="W30" s="31"/>
      <c r="X30" s="32"/>
      <c r="Y30" s="19"/>
      <c r="Z30" s="31" t="s">
        <v>127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127</v>
      </c>
      <c r="C37" s="31"/>
      <c r="D37" s="31"/>
      <c r="E37" s="31"/>
      <c r="F37" s="32"/>
      <c r="G37" s="19"/>
      <c r="H37" s="31" t="s">
        <v>127</v>
      </c>
      <c r="I37" s="31"/>
      <c r="J37" s="31"/>
      <c r="K37" s="31"/>
      <c r="L37" s="32"/>
      <c r="M37" s="19"/>
      <c r="N37" s="31" t="s">
        <v>127</v>
      </c>
      <c r="O37" s="31"/>
      <c r="P37" s="31"/>
      <c r="Q37" s="31"/>
      <c r="R37" s="32"/>
      <c r="S37" s="19"/>
      <c r="T37" s="31" t="s">
        <v>127</v>
      </c>
      <c r="U37" s="31"/>
      <c r="V37" s="31"/>
      <c r="W37" s="31"/>
      <c r="X37" s="32"/>
      <c r="Y37" s="19"/>
      <c r="Z37" s="31" t="s">
        <v>127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127</v>
      </c>
      <c r="C44" s="37"/>
      <c r="D44" s="37"/>
      <c r="E44" s="37"/>
      <c r="F44" s="38"/>
      <c r="G44" s="36"/>
      <c r="H44" s="37" t="s">
        <v>127</v>
      </c>
      <c r="I44" s="37"/>
      <c r="J44" s="37"/>
      <c r="K44" s="37"/>
      <c r="L44" s="38"/>
      <c r="M44" s="36"/>
      <c r="N44" s="37" t="s">
        <v>127</v>
      </c>
      <c r="O44" s="37"/>
      <c r="P44" s="37"/>
      <c r="Q44" s="37"/>
      <c r="R44" s="38"/>
      <c r="S44" s="36"/>
      <c r="T44" s="37" t="s">
        <v>127</v>
      </c>
      <c r="U44" s="37"/>
      <c r="V44" s="37"/>
      <c r="W44" s="37"/>
      <c r="X44" s="38"/>
      <c r="Y44" s="36"/>
      <c r="Z44" s="37" t="s">
        <v>127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市场预测!M17</f>
        <v>1</v>
      </c>
      <c r="E45" s="41"/>
      <c r="F45" s="41"/>
      <c r="G45" s="42"/>
      <c r="H45" s="12" t="s">
        <v>131</v>
      </c>
      <c r="I45" s="12"/>
      <c r="J45" s="43">
        <v>6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2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0.25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13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0</v>
      </c>
      <c r="D50" s="28"/>
      <c r="E50" s="29"/>
      <c r="F50" s="23"/>
      <c r="G50" s="19"/>
      <c r="H50" s="20" t="s">
        <v>123</v>
      </c>
      <c r="I50" s="27">
        <f ca="1">IF(D68&gt;=2,RANDBETWEEN(D69,J69),0)</f>
        <v>0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 t="e">
        <f ca="1">C49/C50</f>
        <v>#DIV/0!</v>
      </c>
      <c r="D51" s="22" t="s">
        <v>121</v>
      </c>
      <c r="E51" s="22"/>
      <c r="F51" s="23"/>
      <c r="G51" s="19"/>
      <c r="H51" s="20" t="s">
        <v>124</v>
      </c>
      <c r="I51" s="30" t="e">
        <f ca="1">I49/I50</f>
        <v>#DIV/0!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0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0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127</v>
      </c>
      <c r="C53" s="31"/>
      <c r="D53" s="31"/>
      <c r="E53" s="31"/>
      <c r="F53" s="32"/>
      <c r="G53" s="19"/>
      <c r="H53" s="31" t="s">
        <v>127</v>
      </c>
      <c r="I53" s="31"/>
      <c r="J53" s="31"/>
      <c r="K53" s="31"/>
      <c r="L53" s="32"/>
      <c r="M53" s="19"/>
      <c r="N53" s="31" t="s">
        <v>127</v>
      </c>
      <c r="O53" s="31"/>
      <c r="P53" s="31"/>
      <c r="Q53" s="31"/>
      <c r="R53" s="32"/>
      <c r="S53" s="19"/>
      <c r="T53" s="31" t="s">
        <v>127</v>
      </c>
      <c r="U53" s="31"/>
      <c r="V53" s="31"/>
      <c r="W53" s="31"/>
      <c r="X53" s="32"/>
      <c r="Y53" s="19"/>
      <c r="Z53" s="31" t="s">
        <v>127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127</v>
      </c>
      <c r="C60" s="31"/>
      <c r="D60" s="31"/>
      <c r="E60" s="31"/>
      <c r="F60" s="32"/>
      <c r="G60" s="19"/>
      <c r="H60" s="31" t="s">
        <v>127</v>
      </c>
      <c r="I60" s="31"/>
      <c r="J60" s="31"/>
      <c r="K60" s="31"/>
      <c r="L60" s="32"/>
      <c r="M60" s="19"/>
      <c r="N60" s="31" t="s">
        <v>127</v>
      </c>
      <c r="O60" s="31"/>
      <c r="P60" s="31"/>
      <c r="Q60" s="31"/>
      <c r="R60" s="32"/>
      <c r="S60" s="19"/>
      <c r="T60" s="31" t="s">
        <v>127</v>
      </c>
      <c r="U60" s="31"/>
      <c r="V60" s="31"/>
      <c r="W60" s="31"/>
      <c r="X60" s="32"/>
      <c r="Y60" s="19"/>
      <c r="Z60" s="31" t="s">
        <v>127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127</v>
      </c>
      <c r="C67" s="37"/>
      <c r="D67" s="37"/>
      <c r="E67" s="37"/>
      <c r="F67" s="38"/>
      <c r="G67" s="36"/>
      <c r="H67" s="37" t="s">
        <v>127</v>
      </c>
      <c r="I67" s="37"/>
      <c r="J67" s="37"/>
      <c r="K67" s="37"/>
      <c r="L67" s="38"/>
      <c r="M67" s="36"/>
      <c r="N67" s="37" t="s">
        <v>127</v>
      </c>
      <c r="O67" s="37"/>
      <c r="P67" s="37"/>
      <c r="Q67" s="37"/>
      <c r="R67" s="38"/>
      <c r="S67" s="36"/>
      <c r="T67" s="37" t="s">
        <v>127</v>
      </c>
      <c r="U67" s="37"/>
      <c r="V67" s="37"/>
      <c r="W67" s="37"/>
      <c r="X67" s="38"/>
      <c r="Y67" s="36"/>
      <c r="Z67" s="37" t="s">
        <v>127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市场预测!N17</f>
        <v>0</v>
      </c>
      <c r="E68" s="41"/>
      <c r="F68" s="41"/>
      <c r="G68" s="42"/>
      <c r="H68" s="12" t="s">
        <v>131</v>
      </c>
      <c r="I68" s="12"/>
      <c r="J68" s="43">
        <v>8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0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0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0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 t="e">
        <f ca="1">C72/C73</f>
        <v>#DIV/0!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0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127</v>
      </c>
      <c r="C76" s="31"/>
      <c r="D76" s="31"/>
      <c r="E76" s="31"/>
      <c r="F76" s="32"/>
      <c r="G76" s="19"/>
      <c r="H76" s="31" t="s">
        <v>127</v>
      </c>
      <c r="I76" s="31"/>
      <c r="J76" s="31"/>
      <c r="K76" s="31"/>
      <c r="L76" s="32"/>
      <c r="M76" s="19"/>
      <c r="N76" s="31" t="s">
        <v>127</v>
      </c>
      <c r="O76" s="31"/>
      <c r="P76" s="31"/>
      <c r="Q76" s="31"/>
      <c r="R76" s="32"/>
      <c r="S76" s="19"/>
      <c r="T76" s="31" t="s">
        <v>127</v>
      </c>
      <c r="U76" s="31"/>
      <c r="V76" s="31"/>
      <c r="W76" s="31"/>
      <c r="X76" s="32"/>
      <c r="Y76" s="19"/>
      <c r="Z76" s="31" t="s">
        <v>127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127</v>
      </c>
      <c r="C83" s="31"/>
      <c r="D83" s="31"/>
      <c r="E83" s="31"/>
      <c r="F83" s="32"/>
      <c r="G83" s="19"/>
      <c r="H83" s="31" t="s">
        <v>127</v>
      </c>
      <c r="I83" s="31"/>
      <c r="J83" s="31"/>
      <c r="K83" s="31"/>
      <c r="L83" s="32"/>
      <c r="M83" s="19"/>
      <c r="N83" s="31" t="s">
        <v>127</v>
      </c>
      <c r="O83" s="31"/>
      <c r="P83" s="31"/>
      <c r="Q83" s="31"/>
      <c r="R83" s="32"/>
      <c r="S83" s="19"/>
      <c r="T83" s="31" t="s">
        <v>127</v>
      </c>
      <c r="U83" s="31"/>
      <c r="V83" s="31"/>
      <c r="W83" s="31"/>
      <c r="X83" s="32"/>
      <c r="Y83" s="19"/>
      <c r="Z83" s="31" t="s">
        <v>127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127</v>
      </c>
      <c r="C90" s="37"/>
      <c r="D90" s="37"/>
      <c r="E90" s="37"/>
      <c r="F90" s="38"/>
      <c r="G90" s="36"/>
      <c r="H90" s="37" t="s">
        <v>127</v>
      </c>
      <c r="I90" s="37"/>
      <c r="J90" s="37"/>
      <c r="K90" s="37"/>
      <c r="L90" s="38"/>
      <c r="M90" s="36"/>
      <c r="N90" s="37" t="s">
        <v>127</v>
      </c>
      <c r="O90" s="37"/>
      <c r="P90" s="37"/>
      <c r="Q90" s="37"/>
      <c r="R90" s="38"/>
      <c r="S90" s="36"/>
      <c r="T90" s="37" t="s">
        <v>127</v>
      </c>
      <c r="U90" s="37"/>
      <c r="V90" s="37"/>
      <c r="W90" s="37"/>
      <c r="X90" s="38"/>
      <c r="Y90" s="36"/>
      <c r="Z90" s="37" t="s">
        <v>127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市场预测!O17</f>
        <v>0</v>
      </c>
      <c r="E91" s="41"/>
      <c r="F91" s="41"/>
      <c r="G91" s="42"/>
      <c r="H91" s="12" t="s">
        <v>131</v>
      </c>
      <c r="I91" s="12"/>
      <c r="J91" s="43">
        <v>11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0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X92"/>
  <sheetViews>
    <sheetView view="pageBreakPreview" zoomScale="55" zoomScaleNormal="85" topLeftCell="A77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0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53"/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0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53"/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 t="e">
        <f ca="1">C3/C4</f>
        <v>#DIV/0!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53"/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0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53"/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138</v>
      </c>
      <c r="C7" s="31"/>
      <c r="D7" s="31"/>
      <c r="E7" s="31"/>
      <c r="F7" s="32"/>
      <c r="G7" s="19"/>
      <c r="H7" s="31" t="s">
        <v>138</v>
      </c>
      <c r="I7" s="31"/>
      <c r="J7" s="31"/>
      <c r="K7" s="31"/>
      <c r="L7" s="32"/>
      <c r="M7" s="19"/>
      <c r="N7" s="31" t="s">
        <v>138</v>
      </c>
      <c r="O7" s="31"/>
      <c r="P7" s="31"/>
      <c r="Q7" s="31"/>
      <c r="R7" s="32"/>
      <c r="S7" s="19"/>
      <c r="T7" s="31" t="s">
        <v>138</v>
      </c>
      <c r="U7" s="31"/>
      <c r="V7" s="31"/>
      <c r="W7" s="31"/>
      <c r="X7" s="32"/>
      <c r="Y7" s="19"/>
      <c r="Z7" s="31" t="s">
        <v>138</v>
      </c>
      <c r="AA7" s="31"/>
      <c r="AB7" s="31"/>
      <c r="AC7" s="31"/>
      <c r="AD7" s="32"/>
      <c r="AE7" s="33"/>
      <c r="AF7" s="15"/>
      <c r="AG7" s="8" t="s">
        <v>55</v>
      </c>
      <c r="AH7" s="53"/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53"/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53"/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53"/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53"/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53"/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53"/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138</v>
      </c>
      <c r="C14" s="31"/>
      <c r="D14" s="31"/>
      <c r="E14" s="31"/>
      <c r="F14" s="32"/>
      <c r="G14" s="19"/>
      <c r="H14" s="31" t="s">
        <v>138</v>
      </c>
      <c r="I14" s="31"/>
      <c r="J14" s="31"/>
      <c r="K14" s="31"/>
      <c r="L14" s="32"/>
      <c r="M14" s="19"/>
      <c r="N14" s="31" t="s">
        <v>138</v>
      </c>
      <c r="O14" s="31"/>
      <c r="P14" s="31"/>
      <c r="Q14" s="31"/>
      <c r="R14" s="32"/>
      <c r="S14" s="19"/>
      <c r="T14" s="31" t="s">
        <v>138</v>
      </c>
      <c r="U14" s="31"/>
      <c r="V14" s="31"/>
      <c r="W14" s="31"/>
      <c r="X14" s="32"/>
      <c r="Y14" s="19"/>
      <c r="Z14" s="31" t="s">
        <v>138</v>
      </c>
      <c r="AA14" s="31"/>
      <c r="AB14" s="31"/>
      <c r="AC14" s="31"/>
      <c r="AD14" s="32"/>
      <c r="AE14" s="33"/>
      <c r="AF14" s="15"/>
      <c r="AG14" s="8" t="s">
        <v>62</v>
      </c>
      <c r="AH14" s="53"/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53"/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53"/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53"/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138</v>
      </c>
      <c r="C21" s="37"/>
      <c r="D21" s="37"/>
      <c r="E21" s="37"/>
      <c r="F21" s="38"/>
      <c r="G21" s="36"/>
      <c r="H21" s="37" t="s">
        <v>138</v>
      </c>
      <c r="I21" s="37"/>
      <c r="J21" s="37"/>
      <c r="K21" s="37"/>
      <c r="L21" s="38"/>
      <c r="M21" s="36"/>
      <c r="N21" s="37" t="s">
        <v>138</v>
      </c>
      <c r="O21" s="37"/>
      <c r="P21" s="37"/>
      <c r="Q21" s="37"/>
      <c r="R21" s="38"/>
      <c r="S21" s="36"/>
      <c r="T21" s="37" t="s">
        <v>138</v>
      </c>
      <c r="U21" s="37"/>
      <c r="V21" s="37"/>
      <c r="W21" s="37"/>
      <c r="X21" s="38"/>
      <c r="Y21" s="36"/>
      <c r="Z21" s="37" t="s">
        <v>138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市场预测!L27</f>
        <v>0</v>
      </c>
      <c r="E22" s="41"/>
      <c r="F22" s="41"/>
      <c r="G22" s="42"/>
      <c r="H22" s="12" t="s">
        <v>131</v>
      </c>
      <c r="I22" s="12"/>
      <c r="J22" s="43">
        <v>5.5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0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0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0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0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0</v>
      </c>
      <c r="D27" s="28"/>
      <c r="E27" s="29"/>
      <c r="F27" s="23"/>
      <c r="G27" s="19"/>
      <c r="H27" s="20" t="s">
        <v>123</v>
      </c>
      <c r="I27" s="27">
        <f ca="1">IF(D45&gt;=2,RANDBETWEEN(D46,J46),0)</f>
        <v>0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 t="e">
        <f ca="1">C26/C27</f>
        <v>#DIV/0!</v>
      </c>
      <c r="D28" s="22" t="s">
        <v>121</v>
      </c>
      <c r="E28" s="22"/>
      <c r="F28" s="23"/>
      <c r="G28" s="19"/>
      <c r="H28" s="20" t="s">
        <v>124</v>
      </c>
      <c r="I28" s="30" t="e">
        <f ca="1">I26/I27</f>
        <v>#DIV/0!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0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0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138</v>
      </c>
      <c r="C30" s="31"/>
      <c r="D30" s="31"/>
      <c r="E30" s="31"/>
      <c r="F30" s="32"/>
      <c r="G30" s="19"/>
      <c r="H30" s="31" t="s">
        <v>138</v>
      </c>
      <c r="I30" s="31"/>
      <c r="J30" s="31"/>
      <c r="K30" s="31"/>
      <c r="L30" s="32"/>
      <c r="M30" s="19"/>
      <c r="N30" s="31" t="s">
        <v>138</v>
      </c>
      <c r="O30" s="31"/>
      <c r="P30" s="31"/>
      <c r="Q30" s="31"/>
      <c r="R30" s="32"/>
      <c r="S30" s="19"/>
      <c r="T30" s="31" t="s">
        <v>138</v>
      </c>
      <c r="U30" s="31"/>
      <c r="V30" s="31"/>
      <c r="W30" s="31"/>
      <c r="X30" s="32"/>
      <c r="Y30" s="19"/>
      <c r="Z30" s="31" t="s">
        <v>138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138</v>
      </c>
      <c r="C37" s="31"/>
      <c r="D37" s="31"/>
      <c r="E37" s="31"/>
      <c r="F37" s="32"/>
      <c r="G37" s="19"/>
      <c r="H37" s="31" t="s">
        <v>138</v>
      </c>
      <c r="I37" s="31"/>
      <c r="J37" s="31"/>
      <c r="K37" s="31"/>
      <c r="L37" s="32"/>
      <c r="M37" s="19"/>
      <c r="N37" s="31" t="s">
        <v>138</v>
      </c>
      <c r="O37" s="31"/>
      <c r="P37" s="31"/>
      <c r="Q37" s="31"/>
      <c r="R37" s="32"/>
      <c r="S37" s="19"/>
      <c r="T37" s="31" t="s">
        <v>138</v>
      </c>
      <c r="U37" s="31"/>
      <c r="V37" s="31"/>
      <c r="W37" s="31"/>
      <c r="X37" s="32"/>
      <c r="Y37" s="19"/>
      <c r="Z37" s="31" t="s">
        <v>138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138</v>
      </c>
      <c r="C44" s="37"/>
      <c r="D44" s="37"/>
      <c r="E44" s="37"/>
      <c r="F44" s="38"/>
      <c r="G44" s="36"/>
      <c r="H44" s="37" t="s">
        <v>138</v>
      </c>
      <c r="I44" s="37"/>
      <c r="J44" s="37"/>
      <c r="K44" s="37"/>
      <c r="L44" s="38"/>
      <c r="M44" s="36"/>
      <c r="N44" s="37" t="s">
        <v>138</v>
      </c>
      <c r="O44" s="37"/>
      <c r="P44" s="37"/>
      <c r="Q44" s="37"/>
      <c r="R44" s="38"/>
      <c r="S44" s="36"/>
      <c r="T44" s="37" t="s">
        <v>138</v>
      </c>
      <c r="U44" s="37"/>
      <c r="V44" s="37"/>
      <c r="W44" s="37"/>
      <c r="X44" s="38"/>
      <c r="Y44" s="36"/>
      <c r="Z44" s="37" t="s">
        <v>138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市场预测!M27</f>
        <v>0</v>
      </c>
      <c r="E45" s="41"/>
      <c r="F45" s="41"/>
      <c r="G45" s="42"/>
      <c r="H45" s="12" t="s">
        <v>131</v>
      </c>
      <c r="I45" s="12"/>
      <c r="J45" s="43">
        <v>6.5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0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0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0</v>
      </c>
      <c r="D50" s="28"/>
      <c r="E50" s="29"/>
      <c r="F50" s="23"/>
      <c r="G50" s="19"/>
      <c r="H50" s="20" t="s">
        <v>123</v>
      </c>
      <c r="I50" s="27">
        <f ca="1">IF(D68&gt;=2,RANDBETWEEN(D69,J69),0)</f>
        <v>0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 t="e">
        <f ca="1">C49/C50</f>
        <v>#DIV/0!</v>
      </c>
      <c r="D51" s="22" t="s">
        <v>121</v>
      </c>
      <c r="E51" s="22"/>
      <c r="F51" s="23"/>
      <c r="G51" s="19"/>
      <c r="H51" s="20" t="s">
        <v>124</v>
      </c>
      <c r="I51" s="30" t="e">
        <f ca="1">I49/I50</f>
        <v>#DIV/0!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0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0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138</v>
      </c>
      <c r="C53" s="31"/>
      <c r="D53" s="31"/>
      <c r="E53" s="31"/>
      <c r="F53" s="32"/>
      <c r="G53" s="19"/>
      <c r="H53" s="31" t="s">
        <v>138</v>
      </c>
      <c r="I53" s="31"/>
      <c r="J53" s="31"/>
      <c r="K53" s="31"/>
      <c r="L53" s="32"/>
      <c r="M53" s="19"/>
      <c r="N53" s="31" t="s">
        <v>138</v>
      </c>
      <c r="O53" s="31"/>
      <c r="P53" s="31"/>
      <c r="Q53" s="31"/>
      <c r="R53" s="32"/>
      <c r="S53" s="19"/>
      <c r="T53" s="31" t="s">
        <v>138</v>
      </c>
      <c r="U53" s="31"/>
      <c r="V53" s="31"/>
      <c r="W53" s="31"/>
      <c r="X53" s="32"/>
      <c r="Y53" s="19"/>
      <c r="Z53" s="31" t="s">
        <v>138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138</v>
      </c>
      <c r="C60" s="31"/>
      <c r="D60" s="31"/>
      <c r="E60" s="31"/>
      <c r="F60" s="32"/>
      <c r="G60" s="19"/>
      <c r="H60" s="31" t="s">
        <v>138</v>
      </c>
      <c r="I60" s="31"/>
      <c r="J60" s="31"/>
      <c r="K60" s="31"/>
      <c r="L60" s="32"/>
      <c r="M60" s="19"/>
      <c r="N60" s="31" t="s">
        <v>138</v>
      </c>
      <c r="O60" s="31"/>
      <c r="P60" s="31"/>
      <c r="Q60" s="31"/>
      <c r="R60" s="32"/>
      <c r="S60" s="19"/>
      <c r="T60" s="31" t="s">
        <v>138</v>
      </c>
      <c r="U60" s="31"/>
      <c r="V60" s="31"/>
      <c r="W60" s="31"/>
      <c r="X60" s="32"/>
      <c r="Y60" s="19"/>
      <c r="Z60" s="31" t="s">
        <v>138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138</v>
      </c>
      <c r="C67" s="37"/>
      <c r="D67" s="37"/>
      <c r="E67" s="37"/>
      <c r="F67" s="38"/>
      <c r="G67" s="36"/>
      <c r="H67" s="37" t="s">
        <v>138</v>
      </c>
      <c r="I67" s="37"/>
      <c r="J67" s="37"/>
      <c r="K67" s="37"/>
      <c r="L67" s="38"/>
      <c r="M67" s="36"/>
      <c r="N67" s="37" t="s">
        <v>138</v>
      </c>
      <c r="O67" s="37"/>
      <c r="P67" s="37"/>
      <c r="Q67" s="37"/>
      <c r="R67" s="38"/>
      <c r="S67" s="36"/>
      <c r="T67" s="37" t="s">
        <v>138</v>
      </c>
      <c r="U67" s="37"/>
      <c r="V67" s="37"/>
      <c r="W67" s="37"/>
      <c r="X67" s="38"/>
      <c r="Y67" s="36"/>
      <c r="Z67" s="37" t="s">
        <v>138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市场预测!N27</f>
        <v>0</v>
      </c>
      <c r="E68" s="41"/>
      <c r="F68" s="41"/>
      <c r="G68" s="42"/>
      <c r="H68" s="12" t="s">
        <v>131</v>
      </c>
      <c r="I68" s="12"/>
      <c r="J68" s="43">
        <v>8.5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0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0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0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 t="e">
        <f ca="1">C72/C73</f>
        <v>#DIV/0!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0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138</v>
      </c>
      <c r="C76" s="31"/>
      <c r="D76" s="31"/>
      <c r="E76" s="31"/>
      <c r="F76" s="32"/>
      <c r="G76" s="19"/>
      <c r="H76" s="31" t="s">
        <v>138</v>
      </c>
      <c r="I76" s="31"/>
      <c r="J76" s="31"/>
      <c r="K76" s="31"/>
      <c r="L76" s="32"/>
      <c r="M76" s="19"/>
      <c r="N76" s="31" t="s">
        <v>138</v>
      </c>
      <c r="O76" s="31"/>
      <c r="P76" s="31"/>
      <c r="Q76" s="31"/>
      <c r="R76" s="32"/>
      <c r="S76" s="19"/>
      <c r="T76" s="31" t="s">
        <v>138</v>
      </c>
      <c r="U76" s="31"/>
      <c r="V76" s="31"/>
      <c r="W76" s="31"/>
      <c r="X76" s="32"/>
      <c r="Y76" s="19"/>
      <c r="Z76" s="31" t="s">
        <v>138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138</v>
      </c>
      <c r="C83" s="31"/>
      <c r="D83" s="31"/>
      <c r="E83" s="31"/>
      <c r="F83" s="32"/>
      <c r="G83" s="19"/>
      <c r="H83" s="31" t="s">
        <v>138</v>
      </c>
      <c r="I83" s="31"/>
      <c r="J83" s="31"/>
      <c r="K83" s="31"/>
      <c r="L83" s="32"/>
      <c r="M83" s="19"/>
      <c r="N83" s="31" t="s">
        <v>138</v>
      </c>
      <c r="O83" s="31"/>
      <c r="P83" s="31"/>
      <c r="Q83" s="31"/>
      <c r="R83" s="32"/>
      <c r="S83" s="19"/>
      <c r="T83" s="31" t="s">
        <v>138</v>
      </c>
      <c r="U83" s="31"/>
      <c r="V83" s="31"/>
      <c r="W83" s="31"/>
      <c r="X83" s="32"/>
      <c r="Y83" s="19"/>
      <c r="Z83" s="31" t="s">
        <v>138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138</v>
      </c>
      <c r="C90" s="37"/>
      <c r="D90" s="37"/>
      <c r="E90" s="37"/>
      <c r="F90" s="38"/>
      <c r="G90" s="36"/>
      <c r="H90" s="37" t="s">
        <v>138</v>
      </c>
      <c r="I90" s="37"/>
      <c r="J90" s="37"/>
      <c r="K90" s="37"/>
      <c r="L90" s="38"/>
      <c r="M90" s="36"/>
      <c r="N90" s="37" t="s">
        <v>138</v>
      </c>
      <c r="O90" s="37"/>
      <c r="P90" s="37"/>
      <c r="Q90" s="37"/>
      <c r="R90" s="38"/>
      <c r="S90" s="36"/>
      <c r="T90" s="37" t="s">
        <v>138</v>
      </c>
      <c r="U90" s="37"/>
      <c r="V90" s="37"/>
      <c r="W90" s="37"/>
      <c r="X90" s="38"/>
      <c r="Y90" s="36"/>
      <c r="Z90" s="37" t="s">
        <v>138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市场预测!O27</f>
        <v>0</v>
      </c>
      <c r="E91" s="41"/>
      <c r="F91" s="41"/>
      <c r="G91" s="42"/>
      <c r="H91" s="12" t="s">
        <v>131</v>
      </c>
      <c r="I91" s="12"/>
      <c r="J91" s="43">
        <v>11.5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0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X92"/>
  <sheetViews>
    <sheetView view="pageBreakPreview" zoomScale="55" zoomScaleNormal="85" topLeftCell="A63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0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53"/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0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53"/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 t="e">
        <f ca="1">C3/C4</f>
        <v>#DIV/0!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53"/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0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53"/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139</v>
      </c>
      <c r="C7" s="31"/>
      <c r="D7" s="31"/>
      <c r="E7" s="31"/>
      <c r="F7" s="32"/>
      <c r="G7" s="19"/>
      <c r="H7" s="31" t="s">
        <v>139</v>
      </c>
      <c r="I7" s="31"/>
      <c r="J7" s="31"/>
      <c r="K7" s="31"/>
      <c r="L7" s="32"/>
      <c r="M7" s="19"/>
      <c r="N7" s="31" t="s">
        <v>139</v>
      </c>
      <c r="O7" s="31"/>
      <c r="P7" s="31"/>
      <c r="Q7" s="31"/>
      <c r="R7" s="32"/>
      <c r="S7" s="19"/>
      <c r="T7" s="31" t="s">
        <v>139</v>
      </c>
      <c r="U7" s="31"/>
      <c r="V7" s="31"/>
      <c r="W7" s="31"/>
      <c r="X7" s="32"/>
      <c r="Y7" s="19"/>
      <c r="Z7" s="31" t="s">
        <v>139</v>
      </c>
      <c r="AA7" s="31"/>
      <c r="AB7" s="31"/>
      <c r="AC7" s="31"/>
      <c r="AD7" s="32"/>
      <c r="AE7" s="33"/>
      <c r="AF7" s="15"/>
      <c r="AG7" s="8" t="s">
        <v>55</v>
      </c>
      <c r="AH7" s="53"/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53"/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53"/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53"/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53"/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53"/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53"/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139</v>
      </c>
      <c r="C14" s="31"/>
      <c r="D14" s="31"/>
      <c r="E14" s="31"/>
      <c r="F14" s="32"/>
      <c r="G14" s="19"/>
      <c r="H14" s="31" t="s">
        <v>139</v>
      </c>
      <c r="I14" s="31"/>
      <c r="J14" s="31"/>
      <c r="K14" s="31"/>
      <c r="L14" s="32"/>
      <c r="M14" s="19"/>
      <c r="N14" s="31" t="s">
        <v>139</v>
      </c>
      <c r="O14" s="31"/>
      <c r="P14" s="31"/>
      <c r="Q14" s="31"/>
      <c r="R14" s="32"/>
      <c r="S14" s="19"/>
      <c r="T14" s="31" t="s">
        <v>139</v>
      </c>
      <c r="U14" s="31"/>
      <c r="V14" s="31"/>
      <c r="W14" s="31"/>
      <c r="X14" s="32"/>
      <c r="Y14" s="19"/>
      <c r="Z14" s="31" t="s">
        <v>139</v>
      </c>
      <c r="AA14" s="31"/>
      <c r="AB14" s="31"/>
      <c r="AC14" s="31"/>
      <c r="AD14" s="32"/>
      <c r="AE14" s="33"/>
      <c r="AF14" s="15"/>
      <c r="AG14" s="8" t="s">
        <v>62</v>
      </c>
      <c r="AH14" s="53"/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53"/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53"/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53"/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139</v>
      </c>
      <c r="C21" s="37"/>
      <c r="D21" s="37"/>
      <c r="E21" s="37"/>
      <c r="F21" s="38"/>
      <c r="G21" s="36"/>
      <c r="H21" s="37" t="s">
        <v>139</v>
      </c>
      <c r="I21" s="37"/>
      <c r="J21" s="37"/>
      <c r="K21" s="37"/>
      <c r="L21" s="38"/>
      <c r="M21" s="36"/>
      <c r="N21" s="37" t="s">
        <v>139</v>
      </c>
      <c r="O21" s="37"/>
      <c r="P21" s="37"/>
      <c r="Q21" s="37"/>
      <c r="R21" s="38"/>
      <c r="S21" s="36"/>
      <c r="T21" s="37" t="s">
        <v>139</v>
      </c>
      <c r="U21" s="37"/>
      <c r="V21" s="37"/>
      <c r="W21" s="37"/>
      <c r="X21" s="38"/>
      <c r="Y21" s="36"/>
      <c r="Z21" s="37" t="s">
        <v>139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市场预测!L37</f>
        <v>0</v>
      </c>
      <c r="E22" s="41"/>
      <c r="F22" s="41"/>
      <c r="G22" s="42"/>
      <c r="H22" s="12" t="s">
        <v>131</v>
      </c>
      <c r="I22" s="12"/>
      <c r="J22" s="43">
        <v>6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0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0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0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0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0</v>
      </c>
      <c r="D27" s="28"/>
      <c r="E27" s="29"/>
      <c r="F27" s="23"/>
      <c r="G27" s="19"/>
      <c r="H27" s="20" t="s">
        <v>123</v>
      </c>
      <c r="I27" s="27">
        <f ca="1">IF(D45&gt;=2,RANDBETWEEN(D46,J46),0)</f>
        <v>0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 t="e">
        <f ca="1">C26/C27</f>
        <v>#DIV/0!</v>
      </c>
      <c r="D28" s="22" t="s">
        <v>121</v>
      </c>
      <c r="E28" s="22"/>
      <c r="F28" s="23"/>
      <c r="G28" s="19"/>
      <c r="H28" s="20" t="s">
        <v>124</v>
      </c>
      <c r="I28" s="30" t="e">
        <f ca="1">I26/I27</f>
        <v>#DIV/0!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0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0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139</v>
      </c>
      <c r="C30" s="31"/>
      <c r="D30" s="31"/>
      <c r="E30" s="31"/>
      <c r="F30" s="32"/>
      <c r="G30" s="19"/>
      <c r="H30" s="31" t="s">
        <v>139</v>
      </c>
      <c r="I30" s="31"/>
      <c r="J30" s="31"/>
      <c r="K30" s="31"/>
      <c r="L30" s="32"/>
      <c r="M30" s="19"/>
      <c r="N30" s="31" t="s">
        <v>139</v>
      </c>
      <c r="O30" s="31"/>
      <c r="P30" s="31"/>
      <c r="Q30" s="31"/>
      <c r="R30" s="32"/>
      <c r="S30" s="19"/>
      <c r="T30" s="31" t="s">
        <v>139</v>
      </c>
      <c r="U30" s="31"/>
      <c r="V30" s="31"/>
      <c r="W30" s="31"/>
      <c r="X30" s="32"/>
      <c r="Y30" s="19"/>
      <c r="Z30" s="31" t="s">
        <v>139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139</v>
      </c>
      <c r="C37" s="31"/>
      <c r="D37" s="31"/>
      <c r="E37" s="31"/>
      <c r="F37" s="32"/>
      <c r="G37" s="19"/>
      <c r="H37" s="31" t="s">
        <v>139</v>
      </c>
      <c r="I37" s="31"/>
      <c r="J37" s="31"/>
      <c r="K37" s="31"/>
      <c r="L37" s="32"/>
      <c r="M37" s="19"/>
      <c r="N37" s="31" t="s">
        <v>139</v>
      </c>
      <c r="O37" s="31"/>
      <c r="P37" s="31"/>
      <c r="Q37" s="31"/>
      <c r="R37" s="32"/>
      <c r="S37" s="19"/>
      <c r="T37" s="31" t="s">
        <v>139</v>
      </c>
      <c r="U37" s="31"/>
      <c r="V37" s="31"/>
      <c r="W37" s="31"/>
      <c r="X37" s="32"/>
      <c r="Y37" s="19"/>
      <c r="Z37" s="31" t="s">
        <v>139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139</v>
      </c>
      <c r="C44" s="37"/>
      <c r="D44" s="37"/>
      <c r="E44" s="37"/>
      <c r="F44" s="38"/>
      <c r="G44" s="36"/>
      <c r="H44" s="37" t="s">
        <v>139</v>
      </c>
      <c r="I44" s="37"/>
      <c r="J44" s="37"/>
      <c r="K44" s="37"/>
      <c r="L44" s="38"/>
      <c r="M44" s="36"/>
      <c r="N44" s="37" t="s">
        <v>139</v>
      </c>
      <c r="O44" s="37"/>
      <c r="P44" s="37"/>
      <c r="Q44" s="37"/>
      <c r="R44" s="38"/>
      <c r="S44" s="36"/>
      <c r="T44" s="37" t="s">
        <v>139</v>
      </c>
      <c r="U44" s="37"/>
      <c r="V44" s="37"/>
      <c r="W44" s="37"/>
      <c r="X44" s="38"/>
      <c r="Y44" s="36"/>
      <c r="Z44" s="37" t="s">
        <v>139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市场预测!M37</f>
        <v>0</v>
      </c>
      <c r="E45" s="41"/>
      <c r="F45" s="41"/>
      <c r="G45" s="42"/>
      <c r="H45" s="12" t="s">
        <v>131</v>
      </c>
      <c r="I45" s="12"/>
      <c r="J45" s="43">
        <v>7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0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0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0</v>
      </c>
      <c r="D50" s="28"/>
      <c r="E50" s="29"/>
      <c r="F50" s="23"/>
      <c r="G50" s="19"/>
      <c r="H50" s="20" t="s">
        <v>123</v>
      </c>
      <c r="I50" s="27">
        <f ca="1">IF(D68&gt;=2,RANDBETWEEN(D69,J69),0)</f>
        <v>0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 t="e">
        <f ca="1">C49/C50</f>
        <v>#DIV/0!</v>
      </c>
      <c r="D51" s="22" t="s">
        <v>121</v>
      </c>
      <c r="E51" s="22"/>
      <c r="F51" s="23"/>
      <c r="G51" s="19"/>
      <c r="H51" s="20" t="s">
        <v>124</v>
      </c>
      <c r="I51" s="30" t="e">
        <f ca="1">I49/I50</f>
        <v>#DIV/0!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0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0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139</v>
      </c>
      <c r="C53" s="31"/>
      <c r="D53" s="31"/>
      <c r="E53" s="31"/>
      <c r="F53" s="32"/>
      <c r="G53" s="19"/>
      <c r="H53" s="31" t="s">
        <v>139</v>
      </c>
      <c r="I53" s="31"/>
      <c r="J53" s="31"/>
      <c r="K53" s="31"/>
      <c r="L53" s="32"/>
      <c r="M53" s="19"/>
      <c r="N53" s="31" t="s">
        <v>139</v>
      </c>
      <c r="O53" s="31"/>
      <c r="P53" s="31"/>
      <c r="Q53" s="31"/>
      <c r="R53" s="32"/>
      <c r="S53" s="19"/>
      <c r="T53" s="31" t="s">
        <v>139</v>
      </c>
      <c r="U53" s="31"/>
      <c r="V53" s="31"/>
      <c r="W53" s="31"/>
      <c r="X53" s="32"/>
      <c r="Y53" s="19"/>
      <c r="Z53" s="31" t="s">
        <v>139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139</v>
      </c>
      <c r="C60" s="31"/>
      <c r="D60" s="31"/>
      <c r="E60" s="31"/>
      <c r="F60" s="32"/>
      <c r="G60" s="19"/>
      <c r="H60" s="31" t="s">
        <v>139</v>
      </c>
      <c r="I60" s="31"/>
      <c r="J60" s="31"/>
      <c r="K60" s="31"/>
      <c r="L60" s="32"/>
      <c r="M60" s="19"/>
      <c r="N60" s="31" t="s">
        <v>139</v>
      </c>
      <c r="O60" s="31"/>
      <c r="P60" s="31"/>
      <c r="Q60" s="31"/>
      <c r="R60" s="32"/>
      <c r="S60" s="19"/>
      <c r="T60" s="31" t="s">
        <v>139</v>
      </c>
      <c r="U60" s="31"/>
      <c r="V60" s="31"/>
      <c r="W60" s="31"/>
      <c r="X60" s="32"/>
      <c r="Y60" s="19"/>
      <c r="Z60" s="31" t="s">
        <v>139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139</v>
      </c>
      <c r="C67" s="37"/>
      <c r="D67" s="37"/>
      <c r="E67" s="37"/>
      <c r="F67" s="38"/>
      <c r="G67" s="36"/>
      <c r="H67" s="37" t="s">
        <v>139</v>
      </c>
      <c r="I67" s="37"/>
      <c r="J67" s="37"/>
      <c r="K67" s="37"/>
      <c r="L67" s="38"/>
      <c r="M67" s="36"/>
      <c r="N67" s="37" t="s">
        <v>139</v>
      </c>
      <c r="O67" s="37"/>
      <c r="P67" s="37"/>
      <c r="Q67" s="37"/>
      <c r="R67" s="38"/>
      <c r="S67" s="36"/>
      <c r="T67" s="37" t="s">
        <v>139</v>
      </c>
      <c r="U67" s="37"/>
      <c r="V67" s="37"/>
      <c r="W67" s="37"/>
      <c r="X67" s="38"/>
      <c r="Y67" s="36"/>
      <c r="Z67" s="37" t="s">
        <v>139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市场预测!N37</f>
        <v>0</v>
      </c>
      <c r="E68" s="41"/>
      <c r="F68" s="41"/>
      <c r="G68" s="42"/>
      <c r="H68" s="12" t="s">
        <v>131</v>
      </c>
      <c r="I68" s="12"/>
      <c r="J68" s="43">
        <v>9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0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0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0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 t="e">
        <f ca="1">C72/C73</f>
        <v>#DIV/0!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0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139</v>
      </c>
      <c r="C76" s="31"/>
      <c r="D76" s="31"/>
      <c r="E76" s="31"/>
      <c r="F76" s="32"/>
      <c r="G76" s="19"/>
      <c r="H76" s="31" t="s">
        <v>139</v>
      </c>
      <c r="I76" s="31"/>
      <c r="J76" s="31"/>
      <c r="K76" s="31"/>
      <c r="L76" s="32"/>
      <c r="M76" s="19"/>
      <c r="N76" s="31" t="s">
        <v>139</v>
      </c>
      <c r="O76" s="31"/>
      <c r="P76" s="31"/>
      <c r="Q76" s="31"/>
      <c r="R76" s="32"/>
      <c r="S76" s="19"/>
      <c r="T76" s="31" t="s">
        <v>139</v>
      </c>
      <c r="U76" s="31"/>
      <c r="V76" s="31"/>
      <c r="W76" s="31"/>
      <c r="X76" s="32"/>
      <c r="Y76" s="19"/>
      <c r="Z76" s="31" t="s">
        <v>139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139</v>
      </c>
      <c r="C83" s="31"/>
      <c r="D83" s="31"/>
      <c r="E83" s="31"/>
      <c r="F83" s="32"/>
      <c r="G83" s="19"/>
      <c r="H83" s="31" t="s">
        <v>139</v>
      </c>
      <c r="I83" s="31"/>
      <c r="J83" s="31"/>
      <c r="K83" s="31"/>
      <c r="L83" s="32"/>
      <c r="M83" s="19"/>
      <c r="N83" s="31" t="s">
        <v>139</v>
      </c>
      <c r="O83" s="31"/>
      <c r="P83" s="31"/>
      <c r="Q83" s="31"/>
      <c r="R83" s="32"/>
      <c r="S83" s="19"/>
      <c r="T83" s="31" t="s">
        <v>139</v>
      </c>
      <c r="U83" s="31"/>
      <c r="V83" s="31"/>
      <c r="W83" s="31"/>
      <c r="X83" s="32"/>
      <c r="Y83" s="19"/>
      <c r="Z83" s="31" t="s">
        <v>139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139</v>
      </c>
      <c r="C90" s="37"/>
      <c r="D90" s="37"/>
      <c r="E90" s="37"/>
      <c r="F90" s="38"/>
      <c r="G90" s="36"/>
      <c r="H90" s="37" t="s">
        <v>139</v>
      </c>
      <c r="I90" s="37"/>
      <c r="J90" s="37"/>
      <c r="K90" s="37"/>
      <c r="L90" s="38"/>
      <c r="M90" s="36"/>
      <c r="N90" s="37" t="s">
        <v>139</v>
      </c>
      <c r="O90" s="37"/>
      <c r="P90" s="37"/>
      <c r="Q90" s="37"/>
      <c r="R90" s="38"/>
      <c r="S90" s="36"/>
      <c r="T90" s="37" t="s">
        <v>139</v>
      </c>
      <c r="U90" s="37"/>
      <c r="V90" s="37"/>
      <c r="W90" s="37"/>
      <c r="X90" s="38"/>
      <c r="Y90" s="36"/>
      <c r="Z90" s="37" t="s">
        <v>139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市场预测!O37</f>
        <v>0</v>
      </c>
      <c r="E91" s="41"/>
      <c r="F91" s="41"/>
      <c r="G91" s="42"/>
      <c r="H91" s="12" t="s">
        <v>131</v>
      </c>
      <c r="I91" s="12"/>
      <c r="J91" s="43">
        <v>12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0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X92"/>
  <sheetViews>
    <sheetView view="pageBreakPreview" zoomScale="55" zoomScaleNormal="8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0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53"/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0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53"/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 t="e">
        <f ca="1">C3/C4</f>
        <v>#DIV/0!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53"/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0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53"/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140</v>
      </c>
      <c r="C7" s="31"/>
      <c r="D7" s="31"/>
      <c r="E7" s="31"/>
      <c r="F7" s="32"/>
      <c r="G7" s="19"/>
      <c r="H7" s="31" t="s">
        <v>140</v>
      </c>
      <c r="I7" s="31"/>
      <c r="J7" s="31"/>
      <c r="K7" s="31"/>
      <c r="L7" s="32"/>
      <c r="M7" s="19"/>
      <c r="N7" s="31" t="s">
        <v>140</v>
      </c>
      <c r="O7" s="31"/>
      <c r="P7" s="31"/>
      <c r="Q7" s="31"/>
      <c r="R7" s="32"/>
      <c r="S7" s="19"/>
      <c r="T7" s="31" t="s">
        <v>140</v>
      </c>
      <c r="U7" s="31"/>
      <c r="V7" s="31"/>
      <c r="W7" s="31"/>
      <c r="X7" s="32"/>
      <c r="Y7" s="19"/>
      <c r="Z7" s="31" t="s">
        <v>140</v>
      </c>
      <c r="AA7" s="31"/>
      <c r="AB7" s="31"/>
      <c r="AC7" s="31"/>
      <c r="AD7" s="32"/>
      <c r="AE7" s="33"/>
      <c r="AF7" s="15"/>
      <c r="AG7" s="8" t="s">
        <v>55</v>
      </c>
      <c r="AH7" s="53"/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53"/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53"/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53"/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53"/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53"/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53"/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140</v>
      </c>
      <c r="C14" s="31"/>
      <c r="D14" s="31"/>
      <c r="E14" s="31"/>
      <c r="F14" s="32"/>
      <c r="G14" s="19"/>
      <c r="H14" s="31" t="s">
        <v>140</v>
      </c>
      <c r="I14" s="31"/>
      <c r="J14" s="31"/>
      <c r="K14" s="31"/>
      <c r="L14" s="32"/>
      <c r="M14" s="19"/>
      <c r="N14" s="31" t="s">
        <v>140</v>
      </c>
      <c r="O14" s="31"/>
      <c r="P14" s="31"/>
      <c r="Q14" s="31"/>
      <c r="R14" s="32"/>
      <c r="S14" s="19"/>
      <c r="T14" s="31" t="s">
        <v>140</v>
      </c>
      <c r="U14" s="31"/>
      <c r="V14" s="31"/>
      <c r="W14" s="31"/>
      <c r="X14" s="32"/>
      <c r="Y14" s="19"/>
      <c r="Z14" s="31" t="s">
        <v>140</v>
      </c>
      <c r="AA14" s="31"/>
      <c r="AB14" s="31"/>
      <c r="AC14" s="31"/>
      <c r="AD14" s="32"/>
      <c r="AE14" s="33"/>
      <c r="AF14" s="15"/>
      <c r="AG14" s="8" t="s">
        <v>62</v>
      </c>
      <c r="AH14" s="53"/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53"/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53"/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53"/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140</v>
      </c>
      <c r="C21" s="37"/>
      <c r="D21" s="37"/>
      <c r="E21" s="37"/>
      <c r="F21" s="38"/>
      <c r="G21" s="36"/>
      <c r="H21" s="37" t="s">
        <v>140</v>
      </c>
      <c r="I21" s="37"/>
      <c r="J21" s="37"/>
      <c r="K21" s="37"/>
      <c r="L21" s="38"/>
      <c r="M21" s="36"/>
      <c r="N21" s="37" t="s">
        <v>140</v>
      </c>
      <c r="O21" s="37"/>
      <c r="P21" s="37"/>
      <c r="Q21" s="37"/>
      <c r="R21" s="38"/>
      <c r="S21" s="36"/>
      <c r="T21" s="37" t="s">
        <v>140</v>
      </c>
      <c r="U21" s="37"/>
      <c r="V21" s="37"/>
      <c r="W21" s="37"/>
      <c r="X21" s="38"/>
      <c r="Y21" s="36"/>
      <c r="Z21" s="37" t="s">
        <v>140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市场预测!L47</f>
        <v>0</v>
      </c>
      <c r="E22" s="41"/>
      <c r="F22" s="41"/>
      <c r="G22" s="42"/>
      <c r="H22" s="12" t="s">
        <v>131</v>
      </c>
      <c r="I22" s="12"/>
      <c r="J22" s="43">
        <v>7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0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0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0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0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0</v>
      </c>
      <c r="D27" s="28"/>
      <c r="E27" s="29"/>
      <c r="F27" s="23"/>
      <c r="G27" s="19"/>
      <c r="H27" s="20" t="s">
        <v>123</v>
      </c>
      <c r="I27" s="27">
        <f ca="1">IF(D45&gt;=2,RANDBETWEEN(D46,J46),0)</f>
        <v>0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 t="e">
        <f ca="1">C26/C27</f>
        <v>#DIV/0!</v>
      </c>
      <c r="D28" s="22" t="s">
        <v>121</v>
      </c>
      <c r="E28" s="22"/>
      <c r="F28" s="23"/>
      <c r="G28" s="19"/>
      <c r="H28" s="20" t="s">
        <v>124</v>
      </c>
      <c r="I28" s="30" t="e">
        <f ca="1">I26/I27</f>
        <v>#DIV/0!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0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0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140</v>
      </c>
      <c r="C30" s="31"/>
      <c r="D30" s="31"/>
      <c r="E30" s="31"/>
      <c r="F30" s="32"/>
      <c r="G30" s="19"/>
      <c r="H30" s="31" t="s">
        <v>140</v>
      </c>
      <c r="I30" s="31"/>
      <c r="J30" s="31"/>
      <c r="K30" s="31"/>
      <c r="L30" s="32"/>
      <c r="M30" s="19"/>
      <c r="N30" s="31" t="s">
        <v>140</v>
      </c>
      <c r="O30" s="31"/>
      <c r="P30" s="31"/>
      <c r="Q30" s="31"/>
      <c r="R30" s="32"/>
      <c r="S30" s="19"/>
      <c r="T30" s="31" t="s">
        <v>140</v>
      </c>
      <c r="U30" s="31"/>
      <c r="V30" s="31"/>
      <c r="W30" s="31"/>
      <c r="X30" s="32"/>
      <c r="Y30" s="19"/>
      <c r="Z30" s="31" t="s">
        <v>140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140</v>
      </c>
      <c r="C37" s="31"/>
      <c r="D37" s="31"/>
      <c r="E37" s="31"/>
      <c r="F37" s="32"/>
      <c r="G37" s="19"/>
      <c r="H37" s="31" t="s">
        <v>140</v>
      </c>
      <c r="I37" s="31"/>
      <c r="J37" s="31"/>
      <c r="K37" s="31"/>
      <c r="L37" s="32"/>
      <c r="M37" s="19"/>
      <c r="N37" s="31" t="s">
        <v>140</v>
      </c>
      <c r="O37" s="31"/>
      <c r="P37" s="31"/>
      <c r="Q37" s="31"/>
      <c r="R37" s="32"/>
      <c r="S37" s="19"/>
      <c r="T37" s="31" t="s">
        <v>140</v>
      </c>
      <c r="U37" s="31"/>
      <c r="V37" s="31"/>
      <c r="W37" s="31"/>
      <c r="X37" s="32"/>
      <c r="Y37" s="19"/>
      <c r="Z37" s="31" t="s">
        <v>140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140</v>
      </c>
      <c r="C44" s="37"/>
      <c r="D44" s="37"/>
      <c r="E44" s="37"/>
      <c r="F44" s="38"/>
      <c r="G44" s="36"/>
      <c r="H44" s="37" t="s">
        <v>140</v>
      </c>
      <c r="I44" s="37"/>
      <c r="J44" s="37"/>
      <c r="K44" s="37"/>
      <c r="L44" s="38"/>
      <c r="M44" s="36"/>
      <c r="N44" s="37" t="s">
        <v>140</v>
      </c>
      <c r="O44" s="37"/>
      <c r="P44" s="37"/>
      <c r="Q44" s="37"/>
      <c r="R44" s="38"/>
      <c r="S44" s="36"/>
      <c r="T44" s="37" t="s">
        <v>140</v>
      </c>
      <c r="U44" s="37"/>
      <c r="V44" s="37"/>
      <c r="W44" s="37"/>
      <c r="X44" s="38"/>
      <c r="Y44" s="36"/>
      <c r="Z44" s="37" t="s">
        <v>140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市场预测!M47</f>
        <v>0</v>
      </c>
      <c r="E45" s="41"/>
      <c r="F45" s="41"/>
      <c r="G45" s="42"/>
      <c r="H45" s="12" t="s">
        <v>131</v>
      </c>
      <c r="I45" s="12"/>
      <c r="J45" s="43">
        <v>8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0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0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0</v>
      </c>
      <c r="D50" s="28"/>
      <c r="E50" s="29"/>
      <c r="F50" s="23"/>
      <c r="G50" s="19"/>
      <c r="H50" s="20" t="s">
        <v>123</v>
      </c>
      <c r="I50" s="27">
        <f ca="1">IF(D68&gt;=2,RANDBETWEEN(D69,J69),0)</f>
        <v>0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 t="e">
        <f ca="1">C49/C50</f>
        <v>#DIV/0!</v>
      </c>
      <c r="D51" s="22" t="s">
        <v>121</v>
      </c>
      <c r="E51" s="22"/>
      <c r="F51" s="23"/>
      <c r="G51" s="19"/>
      <c r="H51" s="20" t="s">
        <v>124</v>
      </c>
      <c r="I51" s="30" t="e">
        <f ca="1">I49/I50</f>
        <v>#DIV/0!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0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0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140</v>
      </c>
      <c r="C53" s="31"/>
      <c r="D53" s="31"/>
      <c r="E53" s="31"/>
      <c r="F53" s="32"/>
      <c r="G53" s="19"/>
      <c r="H53" s="31" t="s">
        <v>140</v>
      </c>
      <c r="I53" s="31"/>
      <c r="J53" s="31"/>
      <c r="K53" s="31"/>
      <c r="L53" s="32"/>
      <c r="M53" s="19"/>
      <c r="N53" s="31" t="s">
        <v>140</v>
      </c>
      <c r="O53" s="31"/>
      <c r="P53" s="31"/>
      <c r="Q53" s="31"/>
      <c r="R53" s="32"/>
      <c r="S53" s="19"/>
      <c r="T53" s="31" t="s">
        <v>140</v>
      </c>
      <c r="U53" s="31"/>
      <c r="V53" s="31"/>
      <c r="W53" s="31"/>
      <c r="X53" s="32"/>
      <c r="Y53" s="19"/>
      <c r="Z53" s="31" t="s">
        <v>140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140</v>
      </c>
      <c r="C60" s="31"/>
      <c r="D60" s="31"/>
      <c r="E60" s="31"/>
      <c r="F60" s="32"/>
      <c r="G60" s="19"/>
      <c r="H60" s="31" t="s">
        <v>140</v>
      </c>
      <c r="I60" s="31"/>
      <c r="J60" s="31"/>
      <c r="K60" s="31"/>
      <c r="L60" s="32"/>
      <c r="M60" s="19"/>
      <c r="N60" s="31" t="s">
        <v>140</v>
      </c>
      <c r="O60" s="31"/>
      <c r="P60" s="31"/>
      <c r="Q60" s="31"/>
      <c r="R60" s="32"/>
      <c r="S60" s="19"/>
      <c r="T60" s="31" t="s">
        <v>140</v>
      </c>
      <c r="U60" s="31"/>
      <c r="V60" s="31"/>
      <c r="W60" s="31"/>
      <c r="X60" s="32"/>
      <c r="Y60" s="19"/>
      <c r="Z60" s="31" t="s">
        <v>140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140</v>
      </c>
      <c r="C67" s="37"/>
      <c r="D67" s="37"/>
      <c r="E67" s="37"/>
      <c r="F67" s="38"/>
      <c r="G67" s="36"/>
      <c r="H67" s="37" t="s">
        <v>140</v>
      </c>
      <c r="I67" s="37"/>
      <c r="J67" s="37"/>
      <c r="K67" s="37"/>
      <c r="L67" s="38"/>
      <c r="M67" s="36"/>
      <c r="N67" s="37" t="s">
        <v>140</v>
      </c>
      <c r="O67" s="37"/>
      <c r="P67" s="37"/>
      <c r="Q67" s="37"/>
      <c r="R67" s="38"/>
      <c r="S67" s="36"/>
      <c r="T67" s="37" t="s">
        <v>140</v>
      </c>
      <c r="U67" s="37"/>
      <c r="V67" s="37"/>
      <c r="W67" s="37"/>
      <c r="X67" s="38"/>
      <c r="Y67" s="36"/>
      <c r="Z67" s="37" t="s">
        <v>140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市场预测!N47</f>
        <v>0</v>
      </c>
      <c r="E68" s="41"/>
      <c r="F68" s="41"/>
      <c r="G68" s="42"/>
      <c r="H68" s="12" t="s">
        <v>131</v>
      </c>
      <c r="I68" s="12"/>
      <c r="J68" s="43">
        <v>10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0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0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0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 t="e">
        <f ca="1">C72/C73</f>
        <v>#DIV/0!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0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140</v>
      </c>
      <c r="C76" s="31"/>
      <c r="D76" s="31"/>
      <c r="E76" s="31"/>
      <c r="F76" s="32"/>
      <c r="G76" s="19"/>
      <c r="H76" s="31" t="s">
        <v>140</v>
      </c>
      <c r="I76" s="31"/>
      <c r="J76" s="31"/>
      <c r="K76" s="31"/>
      <c r="L76" s="32"/>
      <c r="M76" s="19"/>
      <c r="N76" s="31" t="s">
        <v>140</v>
      </c>
      <c r="O76" s="31"/>
      <c r="P76" s="31"/>
      <c r="Q76" s="31"/>
      <c r="R76" s="32"/>
      <c r="S76" s="19"/>
      <c r="T76" s="31" t="s">
        <v>140</v>
      </c>
      <c r="U76" s="31"/>
      <c r="V76" s="31"/>
      <c r="W76" s="31"/>
      <c r="X76" s="32"/>
      <c r="Y76" s="19"/>
      <c r="Z76" s="31" t="s">
        <v>140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140</v>
      </c>
      <c r="C83" s="31"/>
      <c r="D83" s="31"/>
      <c r="E83" s="31"/>
      <c r="F83" s="32"/>
      <c r="G83" s="19"/>
      <c r="H83" s="31" t="s">
        <v>140</v>
      </c>
      <c r="I83" s="31"/>
      <c r="J83" s="31"/>
      <c r="K83" s="31"/>
      <c r="L83" s="32"/>
      <c r="M83" s="19"/>
      <c r="N83" s="31" t="s">
        <v>140</v>
      </c>
      <c r="O83" s="31"/>
      <c r="P83" s="31"/>
      <c r="Q83" s="31"/>
      <c r="R83" s="32"/>
      <c r="S83" s="19"/>
      <c r="T83" s="31" t="s">
        <v>140</v>
      </c>
      <c r="U83" s="31"/>
      <c r="V83" s="31"/>
      <c r="W83" s="31"/>
      <c r="X83" s="32"/>
      <c r="Y83" s="19"/>
      <c r="Z83" s="31" t="s">
        <v>140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140</v>
      </c>
      <c r="C90" s="37"/>
      <c r="D90" s="37"/>
      <c r="E90" s="37"/>
      <c r="F90" s="38"/>
      <c r="G90" s="36"/>
      <c r="H90" s="37" t="s">
        <v>140</v>
      </c>
      <c r="I90" s="37"/>
      <c r="J90" s="37"/>
      <c r="K90" s="37"/>
      <c r="L90" s="38"/>
      <c r="M90" s="36"/>
      <c r="N90" s="37" t="s">
        <v>140</v>
      </c>
      <c r="O90" s="37"/>
      <c r="P90" s="37"/>
      <c r="Q90" s="37"/>
      <c r="R90" s="38"/>
      <c r="S90" s="36"/>
      <c r="T90" s="37" t="s">
        <v>140</v>
      </c>
      <c r="U90" s="37"/>
      <c r="V90" s="37"/>
      <c r="W90" s="37"/>
      <c r="X90" s="38"/>
      <c r="Y90" s="36"/>
      <c r="Z90" s="37" t="s">
        <v>140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市场预测!O47</f>
        <v>0</v>
      </c>
      <c r="E91" s="41"/>
      <c r="F91" s="41"/>
      <c r="G91" s="42"/>
      <c r="H91" s="12" t="s">
        <v>131</v>
      </c>
      <c r="I91" s="12"/>
      <c r="J91" s="43">
        <v>13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0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X92"/>
  <sheetViews>
    <sheetView view="pageBreakPreview" zoomScale="55" zoomScaleNormal="8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15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15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11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19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19</v>
      </c>
      <c r="AB3" s="22" t="s">
        <v>121</v>
      </c>
      <c r="AC3" s="22"/>
      <c r="AD3" s="23"/>
      <c r="AE3" s="22"/>
      <c r="AF3" s="15"/>
      <c r="AG3" s="8" t="s">
        <v>50</v>
      </c>
      <c r="AH3" s="24">
        <f>'1年本地'!AN3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3</v>
      </c>
      <c r="D4" s="28"/>
      <c r="E4" s="29"/>
      <c r="F4" s="23"/>
      <c r="G4" s="19"/>
      <c r="H4" s="20" t="s">
        <v>123</v>
      </c>
      <c r="I4" s="27">
        <f ca="1">IF(D22&gt;=2,RANDBETWEEN(D23,J23),0)</f>
        <v>3</v>
      </c>
      <c r="J4" s="28"/>
      <c r="K4" s="29"/>
      <c r="L4" s="23"/>
      <c r="M4" s="19"/>
      <c r="N4" s="20" t="s">
        <v>123</v>
      </c>
      <c r="O4" s="27">
        <f ca="1">IF(D22&gt;=3,RANDBETWEEN(D23,J23),0)</f>
        <v>2</v>
      </c>
      <c r="P4" s="28"/>
      <c r="Q4" s="29"/>
      <c r="R4" s="23"/>
      <c r="S4" s="19"/>
      <c r="T4" s="20" t="s">
        <v>123</v>
      </c>
      <c r="U4" s="27">
        <f ca="1">IF(D22&gt;=4,RANDBETWEEN(D23,J23),0)</f>
        <v>4</v>
      </c>
      <c r="V4" s="28"/>
      <c r="W4" s="29"/>
      <c r="X4" s="23"/>
      <c r="Y4" s="19"/>
      <c r="Z4" s="20" t="s">
        <v>123</v>
      </c>
      <c r="AA4" s="27">
        <f ca="1">IF(D22&gt;=5,RANDBETWEEN(D23,J23),0)</f>
        <v>4</v>
      </c>
      <c r="AB4" s="28"/>
      <c r="AC4" s="29"/>
      <c r="AD4" s="23"/>
      <c r="AE4" s="22"/>
      <c r="AF4" s="15"/>
      <c r="AG4" s="8" t="s">
        <v>52</v>
      </c>
      <c r="AH4" s="24">
        <f>'1年本地'!AN4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</v>
      </c>
      <c r="D5" s="22" t="s">
        <v>121</v>
      </c>
      <c r="E5" s="22"/>
      <c r="F5" s="23"/>
      <c r="G5" s="19"/>
      <c r="H5" s="20" t="s">
        <v>124</v>
      </c>
      <c r="I5" s="30">
        <f ca="1">I3/I4</f>
        <v>5</v>
      </c>
      <c r="J5" s="22" t="s">
        <v>121</v>
      </c>
      <c r="K5" s="22"/>
      <c r="L5" s="23"/>
      <c r="M5" s="19"/>
      <c r="N5" s="20" t="s">
        <v>124</v>
      </c>
      <c r="O5" s="30">
        <f ca="1">O3/O4</f>
        <v>5.5</v>
      </c>
      <c r="P5" s="22" t="s">
        <v>121</v>
      </c>
      <c r="Q5" s="22"/>
      <c r="R5" s="23"/>
      <c r="S5" s="19"/>
      <c r="T5" s="20" t="s">
        <v>124</v>
      </c>
      <c r="U5" s="30">
        <f ca="1">U3/U4</f>
        <v>4.75</v>
      </c>
      <c r="V5" s="22" t="s">
        <v>121</v>
      </c>
      <c r="W5" s="22"/>
      <c r="X5" s="23"/>
      <c r="Y5" s="19"/>
      <c r="Z5" s="20" t="s">
        <v>124</v>
      </c>
      <c r="AA5" s="30">
        <f ca="1">AA3/AA4</f>
        <v>4.75</v>
      </c>
      <c r="AB5" s="22" t="s">
        <v>121</v>
      </c>
      <c r="AC5" s="22"/>
      <c r="AD5" s="23"/>
      <c r="AE5" s="22"/>
      <c r="AF5" s="15"/>
      <c r="AG5" s="8" t="s">
        <v>53</v>
      </c>
      <c r="AH5" s="24">
        <f>'1年本地'!AN5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3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4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2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2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2</v>
      </c>
      <c r="AB6" s="22" t="s">
        <v>126</v>
      </c>
      <c r="AC6" s="22"/>
      <c r="AD6" s="23"/>
      <c r="AE6" s="22"/>
      <c r="AF6" s="15"/>
      <c r="AG6" s="8" t="s">
        <v>54</v>
      </c>
      <c r="AH6" s="24">
        <f>'1年本地'!AN6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141</v>
      </c>
      <c r="C7" s="31"/>
      <c r="D7" s="31"/>
      <c r="E7" s="31"/>
      <c r="F7" s="32"/>
      <c r="G7" s="19"/>
      <c r="H7" s="31" t="s">
        <v>141</v>
      </c>
      <c r="I7" s="31"/>
      <c r="J7" s="31"/>
      <c r="K7" s="31"/>
      <c r="L7" s="32"/>
      <c r="M7" s="19"/>
      <c r="N7" s="31" t="s">
        <v>141</v>
      </c>
      <c r="O7" s="31"/>
      <c r="P7" s="31"/>
      <c r="Q7" s="31"/>
      <c r="R7" s="32"/>
      <c r="S7" s="19"/>
      <c r="T7" s="31" t="s">
        <v>141</v>
      </c>
      <c r="U7" s="31"/>
      <c r="V7" s="31"/>
      <c r="W7" s="31"/>
      <c r="X7" s="32"/>
      <c r="Y7" s="19"/>
      <c r="Z7" s="31" t="s">
        <v>141</v>
      </c>
      <c r="AA7" s="31"/>
      <c r="AB7" s="31"/>
      <c r="AC7" s="31"/>
      <c r="AD7" s="32"/>
      <c r="AE7" s="33"/>
      <c r="AF7" s="15"/>
      <c r="AG7" s="8" t="s">
        <v>55</v>
      </c>
      <c r="AH7" s="24">
        <f>'1年本地'!AN7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'1年本地'!AN8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'1年本地'!AN9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'1年本地'!AN10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'1年本地'!AN11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'1年本地'!AN12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'1年本地'!AN13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141</v>
      </c>
      <c r="C14" s="31"/>
      <c r="D14" s="31"/>
      <c r="E14" s="31"/>
      <c r="F14" s="32"/>
      <c r="G14" s="19"/>
      <c r="H14" s="31" t="s">
        <v>141</v>
      </c>
      <c r="I14" s="31"/>
      <c r="J14" s="31"/>
      <c r="K14" s="31"/>
      <c r="L14" s="32"/>
      <c r="M14" s="19"/>
      <c r="N14" s="31" t="s">
        <v>141</v>
      </c>
      <c r="O14" s="31"/>
      <c r="P14" s="31"/>
      <c r="Q14" s="31"/>
      <c r="R14" s="32"/>
      <c r="S14" s="19"/>
      <c r="T14" s="31" t="s">
        <v>141</v>
      </c>
      <c r="U14" s="31"/>
      <c r="V14" s="31"/>
      <c r="W14" s="31"/>
      <c r="X14" s="32"/>
      <c r="Y14" s="19"/>
      <c r="Z14" s="31" t="s">
        <v>141</v>
      </c>
      <c r="AA14" s="31"/>
      <c r="AB14" s="31"/>
      <c r="AC14" s="31"/>
      <c r="AD14" s="32"/>
      <c r="AE14" s="33"/>
      <c r="AF14" s="15"/>
      <c r="AG14" s="8" t="s">
        <v>62</v>
      </c>
      <c r="AH14" s="24">
        <f>'1年本地'!AN14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'1年本地'!AN15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'1年本地'!AN16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'1年本地'!AN17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141</v>
      </c>
      <c r="C21" s="37"/>
      <c r="D21" s="37"/>
      <c r="E21" s="37"/>
      <c r="F21" s="38"/>
      <c r="G21" s="36"/>
      <c r="H21" s="37" t="s">
        <v>141</v>
      </c>
      <c r="I21" s="37"/>
      <c r="J21" s="37"/>
      <c r="K21" s="37"/>
      <c r="L21" s="38"/>
      <c r="M21" s="36"/>
      <c r="N21" s="37" t="s">
        <v>141</v>
      </c>
      <c r="O21" s="37"/>
      <c r="P21" s="37"/>
      <c r="Q21" s="37"/>
      <c r="R21" s="38"/>
      <c r="S21" s="36"/>
      <c r="T21" s="37" t="s">
        <v>141</v>
      </c>
      <c r="U21" s="37"/>
      <c r="V21" s="37"/>
      <c r="W21" s="37"/>
      <c r="X21" s="38"/>
      <c r="Y21" s="36"/>
      <c r="Z21" s="37" t="s">
        <v>141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市场预测!L18</f>
        <v>5</v>
      </c>
      <c r="E22" s="41"/>
      <c r="F22" s="41"/>
      <c r="G22" s="42"/>
      <c r="H22" s="12" t="s">
        <v>131</v>
      </c>
      <c r="I22" s="12"/>
      <c r="J22" s="43">
        <v>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16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2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79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18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23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4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5.75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3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4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141</v>
      </c>
      <c r="C30" s="31"/>
      <c r="D30" s="31"/>
      <c r="E30" s="31"/>
      <c r="F30" s="32"/>
      <c r="G30" s="19"/>
      <c r="H30" s="31" t="s">
        <v>141</v>
      </c>
      <c r="I30" s="31"/>
      <c r="J30" s="31"/>
      <c r="K30" s="31"/>
      <c r="L30" s="32"/>
      <c r="M30" s="19"/>
      <c r="N30" s="31" t="s">
        <v>141</v>
      </c>
      <c r="O30" s="31"/>
      <c r="P30" s="31"/>
      <c r="Q30" s="31"/>
      <c r="R30" s="32"/>
      <c r="S30" s="19"/>
      <c r="T30" s="31" t="s">
        <v>141</v>
      </c>
      <c r="U30" s="31"/>
      <c r="V30" s="31"/>
      <c r="W30" s="31"/>
      <c r="X30" s="32"/>
      <c r="Y30" s="19"/>
      <c r="Z30" s="31" t="s">
        <v>141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141</v>
      </c>
      <c r="C37" s="31"/>
      <c r="D37" s="31"/>
      <c r="E37" s="31"/>
      <c r="F37" s="32"/>
      <c r="G37" s="19"/>
      <c r="H37" s="31" t="s">
        <v>141</v>
      </c>
      <c r="I37" s="31"/>
      <c r="J37" s="31"/>
      <c r="K37" s="31"/>
      <c r="L37" s="32"/>
      <c r="M37" s="19"/>
      <c r="N37" s="31" t="s">
        <v>141</v>
      </c>
      <c r="O37" s="31"/>
      <c r="P37" s="31"/>
      <c r="Q37" s="31"/>
      <c r="R37" s="32"/>
      <c r="S37" s="19"/>
      <c r="T37" s="31" t="s">
        <v>141</v>
      </c>
      <c r="U37" s="31"/>
      <c r="V37" s="31"/>
      <c r="W37" s="31"/>
      <c r="X37" s="32"/>
      <c r="Y37" s="19"/>
      <c r="Z37" s="31" t="s">
        <v>141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141</v>
      </c>
      <c r="C44" s="37"/>
      <c r="D44" s="37"/>
      <c r="E44" s="37"/>
      <c r="F44" s="38"/>
      <c r="G44" s="36"/>
      <c r="H44" s="37" t="s">
        <v>141</v>
      </c>
      <c r="I44" s="37"/>
      <c r="J44" s="37"/>
      <c r="K44" s="37"/>
      <c r="L44" s="38"/>
      <c r="M44" s="36"/>
      <c r="N44" s="37" t="s">
        <v>141</v>
      </c>
      <c r="O44" s="37"/>
      <c r="P44" s="37"/>
      <c r="Q44" s="37"/>
      <c r="R44" s="38"/>
      <c r="S44" s="36"/>
      <c r="T44" s="37" t="s">
        <v>141</v>
      </c>
      <c r="U44" s="37"/>
      <c r="V44" s="37"/>
      <c r="W44" s="37"/>
      <c r="X44" s="38"/>
      <c r="Y44" s="36"/>
      <c r="Z44" s="37" t="s">
        <v>141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市场预测!M18</f>
        <v>2</v>
      </c>
      <c r="E45" s="41"/>
      <c r="F45" s="41"/>
      <c r="G45" s="42"/>
      <c r="H45" s="12" t="s">
        <v>131</v>
      </c>
      <c r="I45" s="12"/>
      <c r="J45" s="43">
        <v>6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7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0.875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41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0</v>
      </c>
      <c r="D50" s="28"/>
      <c r="E50" s="29"/>
      <c r="F50" s="23"/>
      <c r="G50" s="19"/>
      <c r="H50" s="20" t="s">
        <v>123</v>
      </c>
      <c r="I50" s="27">
        <f ca="1">IF(D68&gt;=2,RANDBETWEEN(D69,J69),0)</f>
        <v>0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 t="e">
        <f ca="1">C49/C50</f>
        <v>#DIV/0!</v>
      </c>
      <c r="D51" s="22" t="s">
        <v>121</v>
      </c>
      <c r="E51" s="22"/>
      <c r="F51" s="23"/>
      <c r="G51" s="19"/>
      <c r="H51" s="20" t="s">
        <v>124</v>
      </c>
      <c r="I51" s="30" t="e">
        <f ca="1">I49/I50</f>
        <v>#DIV/0!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0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0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141</v>
      </c>
      <c r="C53" s="31"/>
      <c r="D53" s="31"/>
      <c r="E53" s="31"/>
      <c r="F53" s="32"/>
      <c r="G53" s="19"/>
      <c r="H53" s="31" t="s">
        <v>141</v>
      </c>
      <c r="I53" s="31"/>
      <c r="J53" s="31"/>
      <c r="K53" s="31"/>
      <c r="L53" s="32"/>
      <c r="M53" s="19"/>
      <c r="N53" s="31" t="s">
        <v>141</v>
      </c>
      <c r="O53" s="31"/>
      <c r="P53" s="31"/>
      <c r="Q53" s="31"/>
      <c r="R53" s="32"/>
      <c r="S53" s="19"/>
      <c r="T53" s="31" t="s">
        <v>141</v>
      </c>
      <c r="U53" s="31"/>
      <c r="V53" s="31"/>
      <c r="W53" s="31"/>
      <c r="X53" s="32"/>
      <c r="Y53" s="19"/>
      <c r="Z53" s="31" t="s">
        <v>141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141</v>
      </c>
      <c r="C60" s="31"/>
      <c r="D60" s="31"/>
      <c r="E60" s="31"/>
      <c r="F60" s="32"/>
      <c r="G60" s="19"/>
      <c r="H60" s="31" t="s">
        <v>141</v>
      </c>
      <c r="I60" s="31"/>
      <c r="J60" s="31"/>
      <c r="K60" s="31"/>
      <c r="L60" s="32"/>
      <c r="M60" s="19"/>
      <c r="N60" s="31" t="s">
        <v>141</v>
      </c>
      <c r="O60" s="31"/>
      <c r="P60" s="31"/>
      <c r="Q60" s="31"/>
      <c r="R60" s="32"/>
      <c r="S60" s="19"/>
      <c r="T60" s="31" t="s">
        <v>141</v>
      </c>
      <c r="U60" s="31"/>
      <c r="V60" s="31"/>
      <c r="W60" s="31"/>
      <c r="X60" s="32"/>
      <c r="Y60" s="19"/>
      <c r="Z60" s="31" t="s">
        <v>141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141</v>
      </c>
      <c r="C67" s="37"/>
      <c r="D67" s="37"/>
      <c r="E67" s="37"/>
      <c r="F67" s="38"/>
      <c r="G67" s="36"/>
      <c r="H67" s="37" t="s">
        <v>141</v>
      </c>
      <c r="I67" s="37"/>
      <c r="J67" s="37"/>
      <c r="K67" s="37"/>
      <c r="L67" s="38"/>
      <c r="M67" s="36"/>
      <c r="N67" s="37" t="s">
        <v>141</v>
      </c>
      <c r="O67" s="37"/>
      <c r="P67" s="37"/>
      <c r="Q67" s="37"/>
      <c r="R67" s="38"/>
      <c r="S67" s="36"/>
      <c r="T67" s="37" t="s">
        <v>141</v>
      </c>
      <c r="U67" s="37"/>
      <c r="V67" s="37"/>
      <c r="W67" s="37"/>
      <c r="X67" s="38"/>
      <c r="Y67" s="36"/>
      <c r="Z67" s="37" t="s">
        <v>141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市场预测!N18</f>
        <v>0</v>
      </c>
      <c r="E68" s="41"/>
      <c r="F68" s="41"/>
      <c r="G68" s="42"/>
      <c r="H68" s="12" t="s">
        <v>131</v>
      </c>
      <c r="I68" s="12"/>
      <c r="J68" s="43">
        <v>8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0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0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0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 t="e">
        <f ca="1">C72/C73</f>
        <v>#DIV/0!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0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141</v>
      </c>
      <c r="C76" s="31"/>
      <c r="D76" s="31"/>
      <c r="E76" s="31"/>
      <c r="F76" s="32"/>
      <c r="G76" s="19"/>
      <c r="H76" s="31" t="s">
        <v>141</v>
      </c>
      <c r="I76" s="31"/>
      <c r="J76" s="31"/>
      <c r="K76" s="31"/>
      <c r="L76" s="32"/>
      <c r="M76" s="19"/>
      <c r="N76" s="31" t="s">
        <v>141</v>
      </c>
      <c r="O76" s="31"/>
      <c r="P76" s="31"/>
      <c r="Q76" s="31"/>
      <c r="R76" s="32"/>
      <c r="S76" s="19"/>
      <c r="T76" s="31" t="s">
        <v>141</v>
      </c>
      <c r="U76" s="31"/>
      <c r="V76" s="31"/>
      <c r="W76" s="31"/>
      <c r="X76" s="32"/>
      <c r="Y76" s="19"/>
      <c r="Z76" s="31" t="s">
        <v>141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141</v>
      </c>
      <c r="C83" s="31"/>
      <c r="D83" s="31"/>
      <c r="E83" s="31"/>
      <c r="F83" s="32"/>
      <c r="G83" s="19"/>
      <c r="H83" s="31" t="s">
        <v>141</v>
      </c>
      <c r="I83" s="31"/>
      <c r="J83" s="31"/>
      <c r="K83" s="31"/>
      <c r="L83" s="32"/>
      <c r="M83" s="19"/>
      <c r="N83" s="31" t="s">
        <v>141</v>
      </c>
      <c r="O83" s="31"/>
      <c r="P83" s="31"/>
      <c r="Q83" s="31"/>
      <c r="R83" s="32"/>
      <c r="S83" s="19"/>
      <c r="T83" s="31" t="s">
        <v>141</v>
      </c>
      <c r="U83" s="31"/>
      <c r="V83" s="31"/>
      <c r="W83" s="31"/>
      <c r="X83" s="32"/>
      <c r="Y83" s="19"/>
      <c r="Z83" s="31" t="s">
        <v>141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141</v>
      </c>
      <c r="C90" s="37"/>
      <c r="D90" s="37"/>
      <c r="E90" s="37"/>
      <c r="F90" s="38"/>
      <c r="G90" s="36"/>
      <c r="H90" s="37" t="s">
        <v>141</v>
      </c>
      <c r="I90" s="37"/>
      <c r="J90" s="37"/>
      <c r="K90" s="37"/>
      <c r="L90" s="38"/>
      <c r="M90" s="36"/>
      <c r="N90" s="37" t="s">
        <v>141</v>
      </c>
      <c r="O90" s="37"/>
      <c r="P90" s="37"/>
      <c r="Q90" s="37"/>
      <c r="R90" s="38"/>
      <c r="S90" s="36"/>
      <c r="T90" s="37" t="s">
        <v>141</v>
      </c>
      <c r="U90" s="37"/>
      <c r="V90" s="37"/>
      <c r="W90" s="37"/>
      <c r="X90" s="38"/>
      <c r="Y90" s="36"/>
      <c r="Z90" s="37" t="s">
        <v>141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市场预测!O18</f>
        <v>0</v>
      </c>
      <c r="E91" s="41"/>
      <c r="F91" s="41"/>
      <c r="G91" s="42"/>
      <c r="H91" s="12" t="s">
        <v>131</v>
      </c>
      <c r="I91" s="12"/>
      <c r="J91" s="43">
        <v>11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0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X92"/>
  <sheetViews>
    <sheetView view="pageBreakPreview" zoomScale="55" zoomScaleNormal="85" topLeftCell="A77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21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12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16.5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21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16.5</v>
      </c>
      <c r="AB3" s="22" t="s">
        <v>121</v>
      </c>
      <c r="AC3" s="22"/>
      <c r="AD3" s="23"/>
      <c r="AE3" s="22"/>
      <c r="AF3" s="15"/>
      <c r="AG3" s="8" t="s">
        <v>50</v>
      </c>
      <c r="AH3" s="24">
        <f>'1年区域'!AN3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4</v>
      </c>
      <c r="D4" s="28"/>
      <c r="E4" s="29"/>
      <c r="F4" s="23"/>
      <c r="G4" s="19"/>
      <c r="H4" s="20" t="s">
        <v>123</v>
      </c>
      <c r="I4" s="27">
        <f ca="1">IF(D22&gt;=2,RANDBETWEEN(D23,J23),0)</f>
        <v>2</v>
      </c>
      <c r="J4" s="28"/>
      <c r="K4" s="29"/>
      <c r="L4" s="23"/>
      <c r="M4" s="19"/>
      <c r="N4" s="20" t="s">
        <v>123</v>
      </c>
      <c r="O4" s="27">
        <f ca="1">IF(D22&gt;=3,RANDBETWEEN(D23,J23),0)</f>
        <v>3</v>
      </c>
      <c r="P4" s="28"/>
      <c r="Q4" s="29"/>
      <c r="R4" s="23"/>
      <c r="S4" s="19"/>
      <c r="T4" s="20" t="s">
        <v>123</v>
      </c>
      <c r="U4" s="27">
        <f ca="1">IF(D22&gt;=4,RANDBETWEEN(D23,J23),0)</f>
        <v>4</v>
      </c>
      <c r="V4" s="28"/>
      <c r="W4" s="29"/>
      <c r="X4" s="23"/>
      <c r="Y4" s="19"/>
      <c r="Z4" s="20" t="s">
        <v>123</v>
      </c>
      <c r="AA4" s="27">
        <f ca="1">IF(D22&gt;=5,RANDBETWEEN(D23,J23),0)</f>
        <v>3</v>
      </c>
      <c r="AB4" s="28"/>
      <c r="AC4" s="29"/>
      <c r="AD4" s="23"/>
      <c r="AE4" s="22"/>
      <c r="AF4" s="15"/>
      <c r="AG4" s="8" t="s">
        <v>52</v>
      </c>
      <c r="AH4" s="24">
        <f>'1年区域'!AN4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5.25</v>
      </c>
      <c r="D5" s="22" t="s">
        <v>121</v>
      </c>
      <c r="E5" s="22"/>
      <c r="F5" s="23"/>
      <c r="G5" s="19"/>
      <c r="H5" s="20" t="s">
        <v>124</v>
      </c>
      <c r="I5" s="30">
        <f ca="1">I3/I4</f>
        <v>6</v>
      </c>
      <c r="J5" s="22" t="s">
        <v>121</v>
      </c>
      <c r="K5" s="22"/>
      <c r="L5" s="23"/>
      <c r="M5" s="19"/>
      <c r="N5" s="20" t="s">
        <v>124</v>
      </c>
      <c r="O5" s="30">
        <f ca="1">O3/O4</f>
        <v>5.5</v>
      </c>
      <c r="P5" s="22" t="s">
        <v>121</v>
      </c>
      <c r="Q5" s="22"/>
      <c r="R5" s="23"/>
      <c r="S5" s="19"/>
      <c r="T5" s="20" t="s">
        <v>124</v>
      </c>
      <c r="U5" s="30">
        <f ca="1">U3/U4</f>
        <v>5.25</v>
      </c>
      <c r="V5" s="22" t="s">
        <v>121</v>
      </c>
      <c r="W5" s="22"/>
      <c r="X5" s="23"/>
      <c r="Y5" s="19"/>
      <c r="Z5" s="20" t="s">
        <v>124</v>
      </c>
      <c r="AA5" s="30">
        <f ca="1">AA3/AA4</f>
        <v>5.5</v>
      </c>
      <c r="AB5" s="22" t="s">
        <v>121</v>
      </c>
      <c r="AC5" s="22"/>
      <c r="AD5" s="23"/>
      <c r="AE5" s="22"/>
      <c r="AF5" s="15"/>
      <c r="AG5" s="8" t="s">
        <v>53</v>
      </c>
      <c r="AH5" s="24">
        <f>'1年区域'!AN5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4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3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3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2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3</v>
      </c>
      <c r="AB6" s="22" t="s">
        <v>126</v>
      </c>
      <c r="AC6" s="22"/>
      <c r="AD6" s="23"/>
      <c r="AE6" s="22"/>
      <c r="AF6" s="15"/>
      <c r="AG6" s="8" t="s">
        <v>54</v>
      </c>
      <c r="AH6" s="24">
        <f>'1年区域'!AN6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142</v>
      </c>
      <c r="C7" s="31"/>
      <c r="D7" s="31"/>
      <c r="E7" s="31"/>
      <c r="F7" s="32"/>
      <c r="G7" s="19"/>
      <c r="H7" s="31" t="s">
        <v>142</v>
      </c>
      <c r="I7" s="31"/>
      <c r="J7" s="31"/>
      <c r="K7" s="31"/>
      <c r="L7" s="32"/>
      <c r="M7" s="19"/>
      <c r="N7" s="31" t="s">
        <v>142</v>
      </c>
      <c r="O7" s="31"/>
      <c r="P7" s="31"/>
      <c r="Q7" s="31"/>
      <c r="R7" s="32"/>
      <c r="S7" s="19"/>
      <c r="T7" s="31" t="s">
        <v>142</v>
      </c>
      <c r="U7" s="31"/>
      <c r="V7" s="31"/>
      <c r="W7" s="31"/>
      <c r="X7" s="32"/>
      <c r="Y7" s="19"/>
      <c r="Z7" s="31" t="s">
        <v>142</v>
      </c>
      <c r="AA7" s="31"/>
      <c r="AB7" s="31"/>
      <c r="AC7" s="31"/>
      <c r="AD7" s="32"/>
      <c r="AE7" s="33"/>
      <c r="AF7" s="15"/>
      <c r="AG7" s="8" t="s">
        <v>55</v>
      </c>
      <c r="AH7" s="24">
        <f>'1年区域'!AN7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'1年区域'!AN8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'1年区域'!AN9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'1年区域'!AN10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'1年区域'!AN11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'1年区域'!AN12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'1年区域'!AN13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142</v>
      </c>
      <c r="C14" s="31"/>
      <c r="D14" s="31"/>
      <c r="E14" s="31"/>
      <c r="F14" s="32"/>
      <c r="G14" s="19"/>
      <c r="H14" s="31" t="s">
        <v>142</v>
      </c>
      <c r="I14" s="31"/>
      <c r="J14" s="31"/>
      <c r="K14" s="31"/>
      <c r="L14" s="32"/>
      <c r="M14" s="19"/>
      <c r="N14" s="31" t="s">
        <v>142</v>
      </c>
      <c r="O14" s="31"/>
      <c r="P14" s="31"/>
      <c r="Q14" s="31"/>
      <c r="R14" s="32"/>
      <c r="S14" s="19"/>
      <c r="T14" s="31" t="s">
        <v>142</v>
      </c>
      <c r="U14" s="31"/>
      <c r="V14" s="31"/>
      <c r="W14" s="31"/>
      <c r="X14" s="32"/>
      <c r="Y14" s="19"/>
      <c r="Z14" s="31" t="s">
        <v>142</v>
      </c>
      <c r="AA14" s="31"/>
      <c r="AB14" s="31"/>
      <c r="AC14" s="31"/>
      <c r="AD14" s="32"/>
      <c r="AE14" s="33"/>
      <c r="AF14" s="15"/>
      <c r="AG14" s="8" t="s">
        <v>62</v>
      </c>
      <c r="AH14" s="24">
        <f>'1年区域'!AN14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'1年区域'!AN15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'1年区域'!AN16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'1年区域'!AN17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142</v>
      </c>
      <c r="C21" s="37"/>
      <c r="D21" s="37"/>
      <c r="E21" s="37"/>
      <c r="F21" s="38"/>
      <c r="G21" s="36"/>
      <c r="H21" s="37" t="s">
        <v>142</v>
      </c>
      <c r="I21" s="37"/>
      <c r="J21" s="37"/>
      <c r="K21" s="37"/>
      <c r="L21" s="38"/>
      <c r="M21" s="36"/>
      <c r="N21" s="37" t="s">
        <v>142</v>
      </c>
      <c r="O21" s="37"/>
      <c r="P21" s="37"/>
      <c r="Q21" s="37"/>
      <c r="R21" s="38"/>
      <c r="S21" s="36"/>
      <c r="T21" s="37" t="s">
        <v>142</v>
      </c>
      <c r="U21" s="37"/>
      <c r="V21" s="37"/>
      <c r="W21" s="37"/>
      <c r="X21" s="38"/>
      <c r="Y21" s="36"/>
      <c r="Z21" s="37" t="s">
        <v>142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市场预测!L28</f>
        <v>5</v>
      </c>
      <c r="E22" s="41"/>
      <c r="F22" s="41"/>
      <c r="G22" s="42"/>
      <c r="H22" s="12" t="s">
        <v>131</v>
      </c>
      <c r="I22" s="12"/>
      <c r="J22" s="43">
        <v>5.5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16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2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87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19.5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19.5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3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6.5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6.5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3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3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142</v>
      </c>
      <c r="C30" s="31"/>
      <c r="D30" s="31"/>
      <c r="E30" s="31"/>
      <c r="F30" s="32"/>
      <c r="G30" s="19"/>
      <c r="H30" s="31" t="s">
        <v>142</v>
      </c>
      <c r="I30" s="31"/>
      <c r="J30" s="31"/>
      <c r="K30" s="31"/>
      <c r="L30" s="32"/>
      <c r="M30" s="19"/>
      <c r="N30" s="31" t="s">
        <v>142</v>
      </c>
      <c r="O30" s="31"/>
      <c r="P30" s="31"/>
      <c r="Q30" s="31"/>
      <c r="R30" s="32"/>
      <c r="S30" s="19"/>
      <c r="T30" s="31" t="s">
        <v>142</v>
      </c>
      <c r="U30" s="31"/>
      <c r="V30" s="31"/>
      <c r="W30" s="31"/>
      <c r="X30" s="32"/>
      <c r="Y30" s="19"/>
      <c r="Z30" s="31" t="s">
        <v>142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142</v>
      </c>
      <c r="C37" s="31"/>
      <c r="D37" s="31"/>
      <c r="E37" s="31"/>
      <c r="F37" s="32"/>
      <c r="G37" s="19"/>
      <c r="H37" s="31" t="s">
        <v>142</v>
      </c>
      <c r="I37" s="31"/>
      <c r="J37" s="31"/>
      <c r="K37" s="31"/>
      <c r="L37" s="32"/>
      <c r="M37" s="19"/>
      <c r="N37" s="31" t="s">
        <v>142</v>
      </c>
      <c r="O37" s="31"/>
      <c r="P37" s="31"/>
      <c r="Q37" s="31"/>
      <c r="R37" s="32"/>
      <c r="S37" s="19"/>
      <c r="T37" s="31" t="s">
        <v>142</v>
      </c>
      <c r="U37" s="31"/>
      <c r="V37" s="31"/>
      <c r="W37" s="31"/>
      <c r="X37" s="32"/>
      <c r="Y37" s="19"/>
      <c r="Z37" s="31" t="s">
        <v>142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142</v>
      </c>
      <c r="C44" s="37"/>
      <c r="D44" s="37"/>
      <c r="E44" s="37"/>
      <c r="F44" s="38"/>
      <c r="G44" s="36"/>
      <c r="H44" s="37" t="s">
        <v>142</v>
      </c>
      <c r="I44" s="37"/>
      <c r="J44" s="37"/>
      <c r="K44" s="37"/>
      <c r="L44" s="38"/>
      <c r="M44" s="36"/>
      <c r="N44" s="37" t="s">
        <v>142</v>
      </c>
      <c r="O44" s="37"/>
      <c r="P44" s="37"/>
      <c r="Q44" s="37"/>
      <c r="R44" s="38"/>
      <c r="S44" s="36"/>
      <c r="T44" s="37" t="s">
        <v>142</v>
      </c>
      <c r="U44" s="37"/>
      <c r="V44" s="37"/>
      <c r="W44" s="37"/>
      <c r="X44" s="38"/>
      <c r="Y44" s="36"/>
      <c r="Z44" s="37" t="s">
        <v>142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市场预测!M28</f>
        <v>2</v>
      </c>
      <c r="E45" s="41"/>
      <c r="F45" s="41"/>
      <c r="G45" s="42"/>
      <c r="H45" s="12" t="s">
        <v>131</v>
      </c>
      <c r="I45" s="12"/>
      <c r="J45" s="43">
        <v>6.5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6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0.75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39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0</v>
      </c>
      <c r="D50" s="28"/>
      <c r="E50" s="29"/>
      <c r="F50" s="23"/>
      <c r="G50" s="19"/>
      <c r="H50" s="20" t="s">
        <v>123</v>
      </c>
      <c r="I50" s="27">
        <f ca="1">IF(D68&gt;=2,RANDBETWEEN(D69,J69),0)</f>
        <v>0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 t="e">
        <f ca="1">C49/C50</f>
        <v>#DIV/0!</v>
      </c>
      <c r="D51" s="22" t="s">
        <v>121</v>
      </c>
      <c r="E51" s="22"/>
      <c r="F51" s="23"/>
      <c r="G51" s="19"/>
      <c r="H51" s="20" t="s">
        <v>124</v>
      </c>
      <c r="I51" s="30" t="e">
        <f ca="1">I49/I50</f>
        <v>#DIV/0!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0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0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142</v>
      </c>
      <c r="C53" s="31"/>
      <c r="D53" s="31"/>
      <c r="E53" s="31"/>
      <c r="F53" s="32"/>
      <c r="G53" s="19"/>
      <c r="H53" s="31" t="s">
        <v>142</v>
      </c>
      <c r="I53" s="31"/>
      <c r="J53" s="31"/>
      <c r="K53" s="31"/>
      <c r="L53" s="32"/>
      <c r="M53" s="19"/>
      <c r="N53" s="31" t="s">
        <v>142</v>
      </c>
      <c r="O53" s="31"/>
      <c r="P53" s="31"/>
      <c r="Q53" s="31"/>
      <c r="R53" s="32"/>
      <c r="S53" s="19"/>
      <c r="T53" s="31" t="s">
        <v>142</v>
      </c>
      <c r="U53" s="31"/>
      <c r="V53" s="31"/>
      <c r="W53" s="31"/>
      <c r="X53" s="32"/>
      <c r="Y53" s="19"/>
      <c r="Z53" s="31" t="s">
        <v>142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142</v>
      </c>
      <c r="C60" s="31"/>
      <c r="D60" s="31"/>
      <c r="E60" s="31"/>
      <c r="F60" s="32"/>
      <c r="G60" s="19"/>
      <c r="H60" s="31" t="s">
        <v>142</v>
      </c>
      <c r="I60" s="31"/>
      <c r="J60" s="31"/>
      <c r="K60" s="31"/>
      <c r="L60" s="32"/>
      <c r="M60" s="19"/>
      <c r="N60" s="31" t="s">
        <v>142</v>
      </c>
      <c r="O60" s="31"/>
      <c r="P60" s="31"/>
      <c r="Q60" s="31"/>
      <c r="R60" s="32"/>
      <c r="S60" s="19"/>
      <c r="T60" s="31" t="s">
        <v>142</v>
      </c>
      <c r="U60" s="31"/>
      <c r="V60" s="31"/>
      <c r="W60" s="31"/>
      <c r="X60" s="32"/>
      <c r="Y60" s="19"/>
      <c r="Z60" s="31" t="s">
        <v>142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142</v>
      </c>
      <c r="C67" s="37"/>
      <c r="D67" s="37"/>
      <c r="E67" s="37"/>
      <c r="F67" s="38"/>
      <c r="G67" s="36"/>
      <c r="H67" s="37" t="s">
        <v>142</v>
      </c>
      <c r="I67" s="37"/>
      <c r="J67" s="37"/>
      <c r="K67" s="37"/>
      <c r="L67" s="38"/>
      <c r="M67" s="36"/>
      <c r="N67" s="37" t="s">
        <v>142</v>
      </c>
      <c r="O67" s="37"/>
      <c r="P67" s="37"/>
      <c r="Q67" s="37"/>
      <c r="R67" s="38"/>
      <c r="S67" s="36"/>
      <c r="T67" s="37" t="s">
        <v>142</v>
      </c>
      <c r="U67" s="37"/>
      <c r="V67" s="37"/>
      <c r="W67" s="37"/>
      <c r="X67" s="38"/>
      <c r="Y67" s="36"/>
      <c r="Z67" s="37" t="s">
        <v>142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市场预测!N28</f>
        <v>0</v>
      </c>
      <c r="E68" s="41"/>
      <c r="F68" s="41"/>
      <c r="G68" s="42"/>
      <c r="H68" s="12" t="s">
        <v>131</v>
      </c>
      <c r="I68" s="12"/>
      <c r="J68" s="43">
        <v>8.5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0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0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0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 t="e">
        <f ca="1">C72/C73</f>
        <v>#DIV/0!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0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142</v>
      </c>
      <c r="C76" s="31"/>
      <c r="D76" s="31"/>
      <c r="E76" s="31"/>
      <c r="F76" s="32"/>
      <c r="G76" s="19"/>
      <c r="H76" s="31" t="s">
        <v>142</v>
      </c>
      <c r="I76" s="31"/>
      <c r="J76" s="31"/>
      <c r="K76" s="31"/>
      <c r="L76" s="32"/>
      <c r="M76" s="19"/>
      <c r="N76" s="31" t="s">
        <v>142</v>
      </c>
      <c r="O76" s="31"/>
      <c r="P76" s="31"/>
      <c r="Q76" s="31"/>
      <c r="R76" s="32"/>
      <c r="S76" s="19"/>
      <c r="T76" s="31" t="s">
        <v>142</v>
      </c>
      <c r="U76" s="31"/>
      <c r="V76" s="31"/>
      <c r="W76" s="31"/>
      <c r="X76" s="32"/>
      <c r="Y76" s="19"/>
      <c r="Z76" s="31" t="s">
        <v>142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142</v>
      </c>
      <c r="C83" s="31"/>
      <c r="D83" s="31"/>
      <c r="E83" s="31"/>
      <c r="F83" s="32"/>
      <c r="G83" s="19"/>
      <c r="H83" s="31" t="s">
        <v>142</v>
      </c>
      <c r="I83" s="31"/>
      <c r="J83" s="31"/>
      <c r="K83" s="31"/>
      <c r="L83" s="32"/>
      <c r="M83" s="19"/>
      <c r="N83" s="31" t="s">
        <v>142</v>
      </c>
      <c r="O83" s="31"/>
      <c r="P83" s="31"/>
      <c r="Q83" s="31"/>
      <c r="R83" s="32"/>
      <c r="S83" s="19"/>
      <c r="T83" s="31" t="s">
        <v>142</v>
      </c>
      <c r="U83" s="31"/>
      <c r="V83" s="31"/>
      <c r="W83" s="31"/>
      <c r="X83" s="32"/>
      <c r="Y83" s="19"/>
      <c r="Z83" s="31" t="s">
        <v>142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142</v>
      </c>
      <c r="C90" s="37"/>
      <c r="D90" s="37"/>
      <c r="E90" s="37"/>
      <c r="F90" s="38"/>
      <c r="G90" s="36"/>
      <c r="H90" s="37" t="s">
        <v>142</v>
      </c>
      <c r="I90" s="37"/>
      <c r="J90" s="37"/>
      <c r="K90" s="37"/>
      <c r="L90" s="38"/>
      <c r="M90" s="36"/>
      <c r="N90" s="37" t="s">
        <v>142</v>
      </c>
      <c r="O90" s="37"/>
      <c r="P90" s="37"/>
      <c r="Q90" s="37"/>
      <c r="R90" s="38"/>
      <c r="S90" s="36"/>
      <c r="T90" s="37" t="s">
        <v>142</v>
      </c>
      <c r="U90" s="37"/>
      <c r="V90" s="37"/>
      <c r="W90" s="37"/>
      <c r="X90" s="38"/>
      <c r="Y90" s="36"/>
      <c r="Z90" s="37" t="s">
        <v>142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市场预测!O28</f>
        <v>0</v>
      </c>
      <c r="E91" s="41"/>
      <c r="F91" s="41"/>
      <c r="G91" s="42"/>
      <c r="H91" s="12" t="s">
        <v>131</v>
      </c>
      <c r="I91" s="12"/>
      <c r="J91" s="43">
        <v>11.5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0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X92"/>
  <sheetViews>
    <sheetView view="pageBreakPreview" zoomScale="55" zoomScaleNormal="85" topLeftCell="A6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0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'1年全国'!AN3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0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'1年全国'!AN4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 t="e">
        <f ca="1">C3/C4</f>
        <v>#DIV/0!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'1年全国'!AN5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0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'1年全国'!AN6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143</v>
      </c>
      <c r="C7" s="31"/>
      <c r="D7" s="31"/>
      <c r="E7" s="31"/>
      <c r="F7" s="32"/>
      <c r="G7" s="19"/>
      <c r="H7" s="31" t="s">
        <v>143</v>
      </c>
      <c r="I7" s="31"/>
      <c r="J7" s="31"/>
      <c r="K7" s="31"/>
      <c r="L7" s="32"/>
      <c r="M7" s="19"/>
      <c r="N7" s="31" t="s">
        <v>143</v>
      </c>
      <c r="O7" s="31"/>
      <c r="P7" s="31"/>
      <c r="Q7" s="31"/>
      <c r="R7" s="32"/>
      <c r="S7" s="19"/>
      <c r="T7" s="31" t="s">
        <v>143</v>
      </c>
      <c r="U7" s="31"/>
      <c r="V7" s="31"/>
      <c r="W7" s="31"/>
      <c r="X7" s="32"/>
      <c r="Y7" s="19"/>
      <c r="Z7" s="31" t="s">
        <v>143</v>
      </c>
      <c r="AA7" s="31"/>
      <c r="AB7" s="31"/>
      <c r="AC7" s="31"/>
      <c r="AD7" s="32"/>
      <c r="AE7" s="33"/>
      <c r="AF7" s="15"/>
      <c r="AG7" s="8" t="s">
        <v>55</v>
      </c>
      <c r="AH7" s="24">
        <f>'1年全国'!AN7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'1年全国'!AN8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'1年全国'!AN9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'1年全国'!AN10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'1年全国'!AN11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'1年全国'!AN12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'1年全国'!AN13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143</v>
      </c>
      <c r="C14" s="31"/>
      <c r="D14" s="31"/>
      <c r="E14" s="31"/>
      <c r="F14" s="32"/>
      <c r="G14" s="19"/>
      <c r="H14" s="31" t="s">
        <v>143</v>
      </c>
      <c r="I14" s="31"/>
      <c r="J14" s="31"/>
      <c r="K14" s="31"/>
      <c r="L14" s="32"/>
      <c r="M14" s="19"/>
      <c r="N14" s="31" t="s">
        <v>143</v>
      </c>
      <c r="O14" s="31"/>
      <c r="P14" s="31"/>
      <c r="Q14" s="31"/>
      <c r="R14" s="32"/>
      <c r="S14" s="19"/>
      <c r="T14" s="31" t="s">
        <v>143</v>
      </c>
      <c r="U14" s="31"/>
      <c r="V14" s="31"/>
      <c r="W14" s="31"/>
      <c r="X14" s="32"/>
      <c r="Y14" s="19"/>
      <c r="Z14" s="31" t="s">
        <v>143</v>
      </c>
      <c r="AA14" s="31"/>
      <c r="AB14" s="31"/>
      <c r="AC14" s="31"/>
      <c r="AD14" s="32"/>
      <c r="AE14" s="33"/>
      <c r="AF14" s="15"/>
      <c r="AG14" s="8" t="s">
        <v>62</v>
      </c>
      <c r="AH14" s="24">
        <f>'1年全国'!AN14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'1年全国'!AN15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'1年全国'!AN16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'1年全国'!AN17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143</v>
      </c>
      <c r="C21" s="37"/>
      <c r="D21" s="37"/>
      <c r="E21" s="37"/>
      <c r="F21" s="38"/>
      <c r="G21" s="36"/>
      <c r="H21" s="37" t="s">
        <v>143</v>
      </c>
      <c r="I21" s="37"/>
      <c r="J21" s="37"/>
      <c r="K21" s="37"/>
      <c r="L21" s="38"/>
      <c r="M21" s="36"/>
      <c r="N21" s="37" t="s">
        <v>143</v>
      </c>
      <c r="O21" s="37"/>
      <c r="P21" s="37"/>
      <c r="Q21" s="37"/>
      <c r="R21" s="38"/>
      <c r="S21" s="36"/>
      <c r="T21" s="37" t="s">
        <v>143</v>
      </c>
      <c r="U21" s="37"/>
      <c r="V21" s="37"/>
      <c r="W21" s="37"/>
      <c r="X21" s="38"/>
      <c r="Y21" s="36"/>
      <c r="Z21" s="37" t="s">
        <v>143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市场预测!L38</f>
        <v>0</v>
      </c>
      <c r="E22" s="41"/>
      <c r="F22" s="41"/>
      <c r="G22" s="42"/>
      <c r="H22" s="12" t="s">
        <v>131</v>
      </c>
      <c r="I22" s="12"/>
      <c r="J22" s="43">
        <v>6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0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0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0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0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0</v>
      </c>
      <c r="D27" s="28"/>
      <c r="E27" s="29"/>
      <c r="F27" s="23"/>
      <c r="G27" s="19"/>
      <c r="H27" s="20" t="s">
        <v>123</v>
      </c>
      <c r="I27" s="27">
        <f ca="1">IF(D45&gt;=2,RANDBETWEEN(D46,J46),0)</f>
        <v>0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 t="e">
        <f ca="1">C26/C27</f>
        <v>#DIV/0!</v>
      </c>
      <c r="D28" s="22" t="s">
        <v>121</v>
      </c>
      <c r="E28" s="22"/>
      <c r="F28" s="23"/>
      <c r="G28" s="19"/>
      <c r="H28" s="20" t="s">
        <v>124</v>
      </c>
      <c r="I28" s="30" t="e">
        <f ca="1">I26/I27</f>
        <v>#DIV/0!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0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0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143</v>
      </c>
      <c r="C30" s="31"/>
      <c r="D30" s="31"/>
      <c r="E30" s="31"/>
      <c r="F30" s="32"/>
      <c r="G30" s="19"/>
      <c r="H30" s="31" t="s">
        <v>143</v>
      </c>
      <c r="I30" s="31"/>
      <c r="J30" s="31"/>
      <c r="K30" s="31"/>
      <c r="L30" s="32"/>
      <c r="M30" s="19"/>
      <c r="N30" s="31" t="s">
        <v>143</v>
      </c>
      <c r="O30" s="31"/>
      <c r="P30" s="31"/>
      <c r="Q30" s="31"/>
      <c r="R30" s="32"/>
      <c r="S30" s="19"/>
      <c r="T30" s="31" t="s">
        <v>143</v>
      </c>
      <c r="U30" s="31"/>
      <c r="V30" s="31"/>
      <c r="W30" s="31"/>
      <c r="X30" s="32"/>
      <c r="Y30" s="19"/>
      <c r="Z30" s="31" t="s">
        <v>143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143</v>
      </c>
      <c r="C37" s="31"/>
      <c r="D37" s="31"/>
      <c r="E37" s="31"/>
      <c r="F37" s="32"/>
      <c r="G37" s="19"/>
      <c r="H37" s="31" t="s">
        <v>143</v>
      </c>
      <c r="I37" s="31"/>
      <c r="J37" s="31"/>
      <c r="K37" s="31"/>
      <c r="L37" s="32"/>
      <c r="M37" s="19"/>
      <c r="N37" s="31" t="s">
        <v>143</v>
      </c>
      <c r="O37" s="31"/>
      <c r="P37" s="31"/>
      <c r="Q37" s="31"/>
      <c r="R37" s="32"/>
      <c r="S37" s="19"/>
      <c r="T37" s="31" t="s">
        <v>143</v>
      </c>
      <c r="U37" s="31"/>
      <c r="V37" s="31"/>
      <c r="W37" s="31"/>
      <c r="X37" s="32"/>
      <c r="Y37" s="19"/>
      <c r="Z37" s="31" t="s">
        <v>143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143</v>
      </c>
      <c r="C44" s="37"/>
      <c r="D44" s="37"/>
      <c r="E44" s="37"/>
      <c r="F44" s="38"/>
      <c r="G44" s="36"/>
      <c r="H44" s="37" t="s">
        <v>143</v>
      </c>
      <c r="I44" s="37"/>
      <c r="J44" s="37"/>
      <c r="K44" s="37"/>
      <c r="L44" s="38"/>
      <c r="M44" s="36"/>
      <c r="N44" s="37" t="s">
        <v>143</v>
      </c>
      <c r="O44" s="37"/>
      <c r="P44" s="37"/>
      <c r="Q44" s="37"/>
      <c r="R44" s="38"/>
      <c r="S44" s="36"/>
      <c r="T44" s="37" t="s">
        <v>143</v>
      </c>
      <c r="U44" s="37"/>
      <c r="V44" s="37"/>
      <c r="W44" s="37"/>
      <c r="X44" s="38"/>
      <c r="Y44" s="36"/>
      <c r="Z44" s="37" t="s">
        <v>143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市场预测!M38</f>
        <v>0</v>
      </c>
      <c r="E45" s="41"/>
      <c r="F45" s="41"/>
      <c r="G45" s="42"/>
      <c r="H45" s="12" t="s">
        <v>131</v>
      </c>
      <c r="I45" s="12"/>
      <c r="J45" s="43">
        <v>7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0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0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0</v>
      </c>
      <c r="D50" s="28"/>
      <c r="E50" s="29"/>
      <c r="F50" s="23"/>
      <c r="G50" s="19"/>
      <c r="H50" s="20" t="s">
        <v>123</v>
      </c>
      <c r="I50" s="27">
        <f ca="1">IF(D68&gt;=2,RANDBETWEEN(D69,J69),0)</f>
        <v>0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 t="e">
        <f ca="1">C49/C50</f>
        <v>#DIV/0!</v>
      </c>
      <c r="D51" s="22" t="s">
        <v>121</v>
      </c>
      <c r="E51" s="22"/>
      <c r="F51" s="23"/>
      <c r="G51" s="19"/>
      <c r="H51" s="20" t="s">
        <v>124</v>
      </c>
      <c r="I51" s="30" t="e">
        <f ca="1">I49/I50</f>
        <v>#DIV/0!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0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0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143</v>
      </c>
      <c r="C53" s="31"/>
      <c r="D53" s="31"/>
      <c r="E53" s="31"/>
      <c r="F53" s="32"/>
      <c r="G53" s="19"/>
      <c r="H53" s="31" t="s">
        <v>143</v>
      </c>
      <c r="I53" s="31"/>
      <c r="J53" s="31"/>
      <c r="K53" s="31"/>
      <c r="L53" s="32"/>
      <c r="M53" s="19"/>
      <c r="N53" s="31" t="s">
        <v>143</v>
      </c>
      <c r="O53" s="31"/>
      <c r="P53" s="31"/>
      <c r="Q53" s="31"/>
      <c r="R53" s="32"/>
      <c r="S53" s="19"/>
      <c r="T53" s="31" t="s">
        <v>143</v>
      </c>
      <c r="U53" s="31"/>
      <c r="V53" s="31"/>
      <c r="W53" s="31"/>
      <c r="X53" s="32"/>
      <c r="Y53" s="19"/>
      <c r="Z53" s="31" t="s">
        <v>143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143</v>
      </c>
      <c r="C60" s="31"/>
      <c r="D60" s="31"/>
      <c r="E60" s="31"/>
      <c r="F60" s="32"/>
      <c r="G60" s="19"/>
      <c r="H60" s="31" t="s">
        <v>143</v>
      </c>
      <c r="I60" s="31"/>
      <c r="J60" s="31"/>
      <c r="K60" s="31"/>
      <c r="L60" s="32"/>
      <c r="M60" s="19"/>
      <c r="N60" s="31" t="s">
        <v>143</v>
      </c>
      <c r="O60" s="31"/>
      <c r="P60" s="31"/>
      <c r="Q60" s="31"/>
      <c r="R60" s="32"/>
      <c r="S60" s="19"/>
      <c r="T60" s="31" t="s">
        <v>143</v>
      </c>
      <c r="U60" s="31"/>
      <c r="V60" s="31"/>
      <c r="W60" s="31"/>
      <c r="X60" s="32"/>
      <c r="Y60" s="19"/>
      <c r="Z60" s="31" t="s">
        <v>143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143</v>
      </c>
      <c r="C67" s="37"/>
      <c r="D67" s="37"/>
      <c r="E67" s="37"/>
      <c r="F67" s="38"/>
      <c r="G67" s="36"/>
      <c r="H67" s="37" t="s">
        <v>143</v>
      </c>
      <c r="I67" s="37"/>
      <c r="J67" s="37"/>
      <c r="K67" s="37"/>
      <c r="L67" s="38"/>
      <c r="M67" s="36"/>
      <c r="N67" s="37" t="s">
        <v>143</v>
      </c>
      <c r="O67" s="37"/>
      <c r="P67" s="37"/>
      <c r="Q67" s="37"/>
      <c r="R67" s="38"/>
      <c r="S67" s="36"/>
      <c r="T67" s="37" t="s">
        <v>143</v>
      </c>
      <c r="U67" s="37"/>
      <c r="V67" s="37"/>
      <c r="W67" s="37"/>
      <c r="X67" s="38"/>
      <c r="Y67" s="36"/>
      <c r="Z67" s="37" t="s">
        <v>143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市场预测!N38</f>
        <v>0</v>
      </c>
      <c r="E68" s="41"/>
      <c r="F68" s="41"/>
      <c r="G68" s="42"/>
      <c r="H68" s="12" t="s">
        <v>131</v>
      </c>
      <c r="I68" s="12"/>
      <c r="J68" s="43">
        <v>9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0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0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0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 t="e">
        <f ca="1">C72/C73</f>
        <v>#DIV/0!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0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143</v>
      </c>
      <c r="C76" s="31"/>
      <c r="D76" s="31"/>
      <c r="E76" s="31"/>
      <c r="F76" s="32"/>
      <c r="G76" s="19"/>
      <c r="H76" s="31" t="s">
        <v>143</v>
      </c>
      <c r="I76" s="31"/>
      <c r="J76" s="31"/>
      <c r="K76" s="31"/>
      <c r="L76" s="32"/>
      <c r="M76" s="19"/>
      <c r="N76" s="31" t="s">
        <v>143</v>
      </c>
      <c r="O76" s="31"/>
      <c r="P76" s="31"/>
      <c r="Q76" s="31"/>
      <c r="R76" s="32"/>
      <c r="S76" s="19"/>
      <c r="T76" s="31" t="s">
        <v>143</v>
      </c>
      <c r="U76" s="31"/>
      <c r="V76" s="31"/>
      <c r="W76" s="31"/>
      <c r="X76" s="32"/>
      <c r="Y76" s="19"/>
      <c r="Z76" s="31" t="s">
        <v>143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143</v>
      </c>
      <c r="C83" s="31"/>
      <c r="D83" s="31"/>
      <c r="E83" s="31"/>
      <c r="F83" s="32"/>
      <c r="G83" s="19"/>
      <c r="H83" s="31" t="s">
        <v>143</v>
      </c>
      <c r="I83" s="31"/>
      <c r="J83" s="31"/>
      <c r="K83" s="31"/>
      <c r="L83" s="32"/>
      <c r="M83" s="19"/>
      <c r="N83" s="31" t="s">
        <v>143</v>
      </c>
      <c r="O83" s="31"/>
      <c r="P83" s="31"/>
      <c r="Q83" s="31"/>
      <c r="R83" s="32"/>
      <c r="S83" s="19"/>
      <c r="T83" s="31" t="s">
        <v>143</v>
      </c>
      <c r="U83" s="31"/>
      <c r="V83" s="31"/>
      <c r="W83" s="31"/>
      <c r="X83" s="32"/>
      <c r="Y83" s="19"/>
      <c r="Z83" s="31" t="s">
        <v>143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143</v>
      </c>
      <c r="C90" s="37"/>
      <c r="D90" s="37"/>
      <c r="E90" s="37"/>
      <c r="F90" s="38"/>
      <c r="G90" s="36"/>
      <c r="H90" s="37" t="s">
        <v>143</v>
      </c>
      <c r="I90" s="37"/>
      <c r="J90" s="37"/>
      <c r="K90" s="37"/>
      <c r="L90" s="38"/>
      <c r="M90" s="36"/>
      <c r="N90" s="37" t="s">
        <v>143</v>
      </c>
      <c r="O90" s="37"/>
      <c r="P90" s="37"/>
      <c r="Q90" s="37"/>
      <c r="R90" s="38"/>
      <c r="S90" s="36"/>
      <c r="T90" s="37" t="s">
        <v>143</v>
      </c>
      <c r="U90" s="37"/>
      <c r="V90" s="37"/>
      <c r="W90" s="37"/>
      <c r="X90" s="38"/>
      <c r="Y90" s="36"/>
      <c r="Z90" s="37" t="s">
        <v>143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市场预测!O38</f>
        <v>0</v>
      </c>
      <c r="E91" s="41"/>
      <c r="F91" s="41"/>
      <c r="G91" s="42"/>
      <c r="H91" s="12" t="s">
        <v>131</v>
      </c>
      <c r="I91" s="12"/>
      <c r="J91" s="43">
        <v>12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0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X92"/>
  <sheetViews>
    <sheetView view="pageBreakPreview" zoomScale="55" zoomScaleNormal="85" topLeftCell="A69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0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'1年全球'!AN3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0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'1年全球'!AN4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 t="e">
        <f ca="1">C3/C4</f>
        <v>#DIV/0!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'1年全球'!AN5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0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'1年全球'!AN6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144</v>
      </c>
      <c r="C7" s="31"/>
      <c r="D7" s="31"/>
      <c r="E7" s="31"/>
      <c r="F7" s="32"/>
      <c r="G7" s="19"/>
      <c r="H7" s="31" t="s">
        <v>144</v>
      </c>
      <c r="I7" s="31"/>
      <c r="J7" s="31"/>
      <c r="K7" s="31"/>
      <c r="L7" s="32"/>
      <c r="M7" s="19"/>
      <c r="N7" s="31" t="s">
        <v>144</v>
      </c>
      <c r="O7" s="31"/>
      <c r="P7" s="31"/>
      <c r="Q7" s="31"/>
      <c r="R7" s="32"/>
      <c r="S7" s="19"/>
      <c r="T7" s="31" t="s">
        <v>144</v>
      </c>
      <c r="U7" s="31"/>
      <c r="V7" s="31"/>
      <c r="W7" s="31"/>
      <c r="X7" s="32"/>
      <c r="Y7" s="19"/>
      <c r="Z7" s="31" t="s">
        <v>144</v>
      </c>
      <c r="AA7" s="31"/>
      <c r="AB7" s="31"/>
      <c r="AC7" s="31"/>
      <c r="AD7" s="32"/>
      <c r="AE7" s="33"/>
      <c r="AF7" s="15"/>
      <c r="AG7" s="8" t="s">
        <v>55</v>
      </c>
      <c r="AH7" s="24">
        <f>'1年全球'!AN7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'1年全球'!AN8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'1年全球'!AN9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'1年全球'!AN10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'1年全球'!AN11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'1年全球'!AN12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'1年全球'!AN13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144</v>
      </c>
      <c r="C14" s="31"/>
      <c r="D14" s="31"/>
      <c r="E14" s="31"/>
      <c r="F14" s="32"/>
      <c r="G14" s="19"/>
      <c r="H14" s="31" t="s">
        <v>144</v>
      </c>
      <c r="I14" s="31"/>
      <c r="J14" s="31"/>
      <c r="K14" s="31"/>
      <c r="L14" s="32"/>
      <c r="M14" s="19"/>
      <c r="N14" s="31" t="s">
        <v>144</v>
      </c>
      <c r="O14" s="31"/>
      <c r="P14" s="31"/>
      <c r="Q14" s="31"/>
      <c r="R14" s="32"/>
      <c r="S14" s="19"/>
      <c r="T14" s="31" t="s">
        <v>144</v>
      </c>
      <c r="U14" s="31"/>
      <c r="V14" s="31"/>
      <c r="W14" s="31"/>
      <c r="X14" s="32"/>
      <c r="Y14" s="19"/>
      <c r="Z14" s="31" t="s">
        <v>144</v>
      </c>
      <c r="AA14" s="31"/>
      <c r="AB14" s="31"/>
      <c r="AC14" s="31"/>
      <c r="AD14" s="32"/>
      <c r="AE14" s="33"/>
      <c r="AF14" s="15"/>
      <c r="AG14" s="8" t="s">
        <v>62</v>
      </c>
      <c r="AH14" s="24">
        <f>'1年全球'!AN14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'1年全球'!AN15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'1年全球'!AN16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'1年全球'!AN17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144</v>
      </c>
      <c r="C21" s="37"/>
      <c r="D21" s="37"/>
      <c r="E21" s="37"/>
      <c r="F21" s="38"/>
      <c r="G21" s="36"/>
      <c r="H21" s="37" t="s">
        <v>144</v>
      </c>
      <c r="I21" s="37"/>
      <c r="J21" s="37"/>
      <c r="K21" s="37"/>
      <c r="L21" s="38"/>
      <c r="M21" s="36"/>
      <c r="N21" s="37" t="s">
        <v>144</v>
      </c>
      <c r="O21" s="37"/>
      <c r="P21" s="37"/>
      <c r="Q21" s="37"/>
      <c r="R21" s="38"/>
      <c r="S21" s="36"/>
      <c r="T21" s="37" t="s">
        <v>144</v>
      </c>
      <c r="U21" s="37"/>
      <c r="V21" s="37"/>
      <c r="W21" s="37"/>
      <c r="X21" s="38"/>
      <c r="Y21" s="36"/>
      <c r="Z21" s="37" t="s">
        <v>144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市场预测!L48</f>
        <v>0</v>
      </c>
      <c r="E22" s="41"/>
      <c r="F22" s="41"/>
      <c r="G22" s="42"/>
      <c r="H22" s="12" t="s">
        <v>131</v>
      </c>
      <c r="I22" s="12"/>
      <c r="J22" s="43">
        <v>7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0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0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0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0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0</v>
      </c>
      <c r="D27" s="28"/>
      <c r="E27" s="29"/>
      <c r="F27" s="23"/>
      <c r="G27" s="19"/>
      <c r="H27" s="20" t="s">
        <v>123</v>
      </c>
      <c r="I27" s="27">
        <f ca="1">IF(D45&gt;=2,RANDBETWEEN(D46,J46),0)</f>
        <v>0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 t="e">
        <f ca="1">C26/C27</f>
        <v>#DIV/0!</v>
      </c>
      <c r="D28" s="22" t="s">
        <v>121</v>
      </c>
      <c r="E28" s="22"/>
      <c r="F28" s="23"/>
      <c r="G28" s="19"/>
      <c r="H28" s="20" t="s">
        <v>124</v>
      </c>
      <c r="I28" s="30" t="e">
        <f ca="1">I26/I27</f>
        <v>#DIV/0!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0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0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144</v>
      </c>
      <c r="C30" s="31"/>
      <c r="D30" s="31"/>
      <c r="E30" s="31"/>
      <c r="F30" s="32"/>
      <c r="G30" s="19"/>
      <c r="H30" s="31" t="s">
        <v>144</v>
      </c>
      <c r="I30" s="31"/>
      <c r="J30" s="31"/>
      <c r="K30" s="31"/>
      <c r="L30" s="32"/>
      <c r="M30" s="19"/>
      <c r="N30" s="31" t="s">
        <v>144</v>
      </c>
      <c r="O30" s="31"/>
      <c r="P30" s="31"/>
      <c r="Q30" s="31"/>
      <c r="R30" s="32"/>
      <c r="S30" s="19"/>
      <c r="T30" s="31" t="s">
        <v>144</v>
      </c>
      <c r="U30" s="31"/>
      <c r="V30" s="31"/>
      <c r="W30" s="31"/>
      <c r="X30" s="32"/>
      <c r="Y30" s="19"/>
      <c r="Z30" s="31" t="s">
        <v>144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144</v>
      </c>
      <c r="C37" s="31"/>
      <c r="D37" s="31"/>
      <c r="E37" s="31"/>
      <c r="F37" s="32"/>
      <c r="G37" s="19"/>
      <c r="H37" s="31" t="s">
        <v>144</v>
      </c>
      <c r="I37" s="31"/>
      <c r="J37" s="31"/>
      <c r="K37" s="31"/>
      <c r="L37" s="32"/>
      <c r="M37" s="19"/>
      <c r="N37" s="31" t="s">
        <v>144</v>
      </c>
      <c r="O37" s="31"/>
      <c r="P37" s="31"/>
      <c r="Q37" s="31"/>
      <c r="R37" s="32"/>
      <c r="S37" s="19"/>
      <c r="T37" s="31" t="s">
        <v>144</v>
      </c>
      <c r="U37" s="31"/>
      <c r="V37" s="31"/>
      <c r="W37" s="31"/>
      <c r="X37" s="32"/>
      <c r="Y37" s="19"/>
      <c r="Z37" s="31" t="s">
        <v>144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144</v>
      </c>
      <c r="C44" s="37"/>
      <c r="D44" s="37"/>
      <c r="E44" s="37"/>
      <c r="F44" s="38"/>
      <c r="G44" s="36"/>
      <c r="H44" s="37" t="s">
        <v>144</v>
      </c>
      <c r="I44" s="37"/>
      <c r="J44" s="37"/>
      <c r="K44" s="37"/>
      <c r="L44" s="38"/>
      <c r="M44" s="36"/>
      <c r="N44" s="37" t="s">
        <v>144</v>
      </c>
      <c r="O44" s="37"/>
      <c r="P44" s="37"/>
      <c r="Q44" s="37"/>
      <c r="R44" s="38"/>
      <c r="S44" s="36"/>
      <c r="T44" s="37" t="s">
        <v>144</v>
      </c>
      <c r="U44" s="37"/>
      <c r="V44" s="37"/>
      <c r="W44" s="37"/>
      <c r="X44" s="38"/>
      <c r="Y44" s="36"/>
      <c r="Z44" s="37" t="s">
        <v>144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市场预测!M48</f>
        <v>0</v>
      </c>
      <c r="E45" s="41"/>
      <c r="F45" s="41"/>
      <c r="G45" s="42"/>
      <c r="H45" s="12" t="s">
        <v>131</v>
      </c>
      <c r="I45" s="12"/>
      <c r="J45" s="43">
        <v>8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0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0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0</v>
      </c>
      <c r="D50" s="28"/>
      <c r="E50" s="29"/>
      <c r="F50" s="23"/>
      <c r="G50" s="19"/>
      <c r="H50" s="20" t="s">
        <v>123</v>
      </c>
      <c r="I50" s="27">
        <f ca="1">IF(D68&gt;=2,RANDBETWEEN(D69,J69),0)</f>
        <v>0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 t="e">
        <f ca="1">C49/C50</f>
        <v>#DIV/0!</v>
      </c>
      <c r="D51" s="22" t="s">
        <v>121</v>
      </c>
      <c r="E51" s="22"/>
      <c r="F51" s="23"/>
      <c r="G51" s="19"/>
      <c r="H51" s="20" t="s">
        <v>124</v>
      </c>
      <c r="I51" s="30" t="e">
        <f ca="1">I49/I50</f>
        <v>#DIV/0!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0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0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144</v>
      </c>
      <c r="C53" s="31"/>
      <c r="D53" s="31"/>
      <c r="E53" s="31"/>
      <c r="F53" s="32"/>
      <c r="G53" s="19"/>
      <c r="H53" s="31" t="s">
        <v>144</v>
      </c>
      <c r="I53" s="31"/>
      <c r="J53" s="31"/>
      <c r="K53" s="31"/>
      <c r="L53" s="32"/>
      <c r="M53" s="19"/>
      <c r="N53" s="31" t="s">
        <v>144</v>
      </c>
      <c r="O53" s="31"/>
      <c r="P53" s="31"/>
      <c r="Q53" s="31"/>
      <c r="R53" s="32"/>
      <c r="S53" s="19"/>
      <c r="T53" s="31" t="s">
        <v>144</v>
      </c>
      <c r="U53" s="31"/>
      <c r="V53" s="31"/>
      <c r="W53" s="31"/>
      <c r="X53" s="32"/>
      <c r="Y53" s="19"/>
      <c r="Z53" s="31" t="s">
        <v>144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144</v>
      </c>
      <c r="C60" s="31"/>
      <c r="D60" s="31"/>
      <c r="E60" s="31"/>
      <c r="F60" s="32"/>
      <c r="G60" s="19"/>
      <c r="H60" s="31" t="s">
        <v>144</v>
      </c>
      <c r="I60" s="31"/>
      <c r="J60" s="31"/>
      <c r="K60" s="31"/>
      <c r="L60" s="32"/>
      <c r="M60" s="19"/>
      <c r="N60" s="31" t="s">
        <v>144</v>
      </c>
      <c r="O60" s="31"/>
      <c r="P60" s="31"/>
      <c r="Q60" s="31"/>
      <c r="R60" s="32"/>
      <c r="S60" s="19"/>
      <c r="T60" s="31" t="s">
        <v>144</v>
      </c>
      <c r="U60" s="31"/>
      <c r="V60" s="31"/>
      <c r="W60" s="31"/>
      <c r="X60" s="32"/>
      <c r="Y60" s="19"/>
      <c r="Z60" s="31" t="s">
        <v>144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144</v>
      </c>
      <c r="C67" s="37"/>
      <c r="D67" s="37"/>
      <c r="E67" s="37"/>
      <c r="F67" s="38"/>
      <c r="G67" s="36"/>
      <c r="H67" s="37" t="s">
        <v>144</v>
      </c>
      <c r="I67" s="37"/>
      <c r="J67" s="37"/>
      <c r="K67" s="37"/>
      <c r="L67" s="38"/>
      <c r="M67" s="36"/>
      <c r="N67" s="37" t="s">
        <v>144</v>
      </c>
      <c r="O67" s="37"/>
      <c r="P67" s="37"/>
      <c r="Q67" s="37"/>
      <c r="R67" s="38"/>
      <c r="S67" s="36"/>
      <c r="T67" s="37" t="s">
        <v>144</v>
      </c>
      <c r="U67" s="37"/>
      <c r="V67" s="37"/>
      <c r="W67" s="37"/>
      <c r="X67" s="38"/>
      <c r="Y67" s="36"/>
      <c r="Z67" s="37" t="s">
        <v>144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市场预测!N48</f>
        <v>0</v>
      </c>
      <c r="E68" s="41"/>
      <c r="F68" s="41"/>
      <c r="G68" s="42"/>
      <c r="H68" s="12" t="s">
        <v>131</v>
      </c>
      <c r="I68" s="12"/>
      <c r="J68" s="43">
        <v>10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0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0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0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 t="e">
        <f ca="1">C72/C73</f>
        <v>#DIV/0!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0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144</v>
      </c>
      <c r="C76" s="31"/>
      <c r="D76" s="31"/>
      <c r="E76" s="31"/>
      <c r="F76" s="32"/>
      <c r="G76" s="19"/>
      <c r="H76" s="31" t="s">
        <v>144</v>
      </c>
      <c r="I76" s="31"/>
      <c r="J76" s="31"/>
      <c r="K76" s="31"/>
      <c r="L76" s="32"/>
      <c r="M76" s="19"/>
      <c r="N76" s="31" t="s">
        <v>144</v>
      </c>
      <c r="O76" s="31"/>
      <c r="P76" s="31"/>
      <c r="Q76" s="31"/>
      <c r="R76" s="32"/>
      <c r="S76" s="19"/>
      <c r="T76" s="31" t="s">
        <v>144</v>
      </c>
      <c r="U76" s="31"/>
      <c r="V76" s="31"/>
      <c r="W76" s="31"/>
      <c r="X76" s="32"/>
      <c r="Y76" s="19"/>
      <c r="Z76" s="31" t="s">
        <v>144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144</v>
      </c>
      <c r="C83" s="31"/>
      <c r="D83" s="31"/>
      <c r="E83" s="31"/>
      <c r="F83" s="32"/>
      <c r="G83" s="19"/>
      <c r="H83" s="31" t="s">
        <v>144</v>
      </c>
      <c r="I83" s="31"/>
      <c r="J83" s="31"/>
      <c r="K83" s="31"/>
      <c r="L83" s="32"/>
      <c r="M83" s="19"/>
      <c r="N83" s="31" t="s">
        <v>144</v>
      </c>
      <c r="O83" s="31"/>
      <c r="P83" s="31"/>
      <c r="Q83" s="31"/>
      <c r="R83" s="32"/>
      <c r="S83" s="19"/>
      <c r="T83" s="31" t="s">
        <v>144</v>
      </c>
      <c r="U83" s="31"/>
      <c r="V83" s="31"/>
      <c r="W83" s="31"/>
      <c r="X83" s="32"/>
      <c r="Y83" s="19"/>
      <c r="Z83" s="31" t="s">
        <v>144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144</v>
      </c>
      <c r="C90" s="37"/>
      <c r="D90" s="37"/>
      <c r="E90" s="37"/>
      <c r="F90" s="38"/>
      <c r="G90" s="36"/>
      <c r="H90" s="37" t="s">
        <v>144</v>
      </c>
      <c r="I90" s="37"/>
      <c r="J90" s="37"/>
      <c r="K90" s="37"/>
      <c r="L90" s="38"/>
      <c r="M90" s="36"/>
      <c r="N90" s="37" t="s">
        <v>144</v>
      </c>
      <c r="O90" s="37"/>
      <c r="P90" s="37"/>
      <c r="Q90" s="37"/>
      <c r="R90" s="38"/>
      <c r="S90" s="36"/>
      <c r="T90" s="37" t="s">
        <v>144</v>
      </c>
      <c r="U90" s="37"/>
      <c r="V90" s="37"/>
      <c r="W90" s="37"/>
      <c r="X90" s="38"/>
      <c r="Y90" s="36"/>
      <c r="Z90" s="37" t="s">
        <v>144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市场预测!O48</f>
        <v>0</v>
      </c>
      <c r="E91" s="41"/>
      <c r="F91" s="41"/>
      <c r="G91" s="42"/>
      <c r="H91" s="12" t="s">
        <v>131</v>
      </c>
      <c r="I91" s="12"/>
      <c r="J91" s="43">
        <v>13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0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X92"/>
  <sheetViews>
    <sheetView view="pageBreakPreview" zoomScale="55" zoomScaleNormal="85" topLeftCell="A2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19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11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'2年本地'!AN3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4</v>
      </c>
      <c r="D4" s="28"/>
      <c r="E4" s="29"/>
      <c r="F4" s="23"/>
      <c r="G4" s="19"/>
      <c r="H4" s="20" t="s">
        <v>123</v>
      </c>
      <c r="I4" s="27">
        <f ca="1">IF(D22&gt;=2,RANDBETWEEN(D23,J23),0)</f>
        <v>2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'2年本地'!AN4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4.75</v>
      </c>
      <c r="D5" s="22" t="s">
        <v>121</v>
      </c>
      <c r="E5" s="22"/>
      <c r="F5" s="23"/>
      <c r="G5" s="19"/>
      <c r="H5" s="20" t="s">
        <v>124</v>
      </c>
      <c r="I5" s="30">
        <f ca="1">I3/I4</f>
        <v>5.5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'2年本地'!AN5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3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3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'2年本地'!AN6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145</v>
      </c>
      <c r="C7" s="31"/>
      <c r="D7" s="31"/>
      <c r="E7" s="31"/>
      <c r="F7" s="32"/>
      <c r="G7" s="19"/>
      <c r="H7" s="31" t="s">
        <v>145</v>
      </c>
      <c r="I7" s="31"/>
      <c r="J7" s="31"/>
      <c r="K7" s="31"/>
      <c r="L7" s="32"/>
      <c r="M7" s="19"/>
      <c r="N7" s="31" t="s">
        <v>145</v>
      </c>
      <c r="O7" s="31"/>
      <c r="P7" s="31"/>
      <c r="Q7" s="31"/>
      <c r="R7" s="32"/>
      <c r="S7" s="19"/>
      <c r="T7" s="31" t="s">
        <v>145</v>
      </c>
      <c r="U7" s="31"/>
      <c r="V7" s="31"/>
      <c r="W7" s="31"/>
      <c r="X7" s="32"/>
      <c r="Y7" s="19"/>
      <c r="Z7" s="31" t="s">
        <v>145</v>
      </c>
      <c r="AA7" s="31"/>
      <c r="AB7" s="31"/>
      <c r="AC7" s="31"/>
      <c r="AD7" s="32"/>
      <c r="AE7" s="33"/>
      <c r="AF7" s="15"/>
      <c r="AG7" s="8" t="s">
        <v>55</v>
      </c>
      <c r="AH7" s="24">
        <f>'2年本地'!AN7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'2年本地'!AN8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'2年本地'!AN9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'2年本地'!AN10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'2年本地'!AN11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'2年本地'!AN12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'2年本地'!AN13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145</v>
      </c>
      <c r="C14" s="31"/>
      <c r="D14" s="31"/>
      <c r="E14" s="31"/>
      <c r="F14" s="32"/>
      <c r="G14" s="19"/>
      <c r="H14" s="31" t="s">
        <v>145</v>
      </c>
      <c r="I14" s="31"/>
      <c r="J14" s="31"/>
      <c r="K14" s="31"/>
      <c r="L14" s="32"/>
      <c r="M14" s="19"/>
      <c r="N14" s="31" t="s">
        <v>145</v>
      </c>
      <c r="O14" s="31"/>
      <c r="P14" s="31"/>
      <c r="Q14" s="31"/>
      <c r="R14" s="32"/>
      <c r="S14" s="19"/>
      <c r="T14" s="31" t="s">
        <v>145</v>
      </c>
      <c r="U14" s="31"/>
      <c r="V14" s="31"/>
      <c r="W14" s="31"/>
      <c r="X14" s="32"/>
      <c r="Y14" s="19"/>
      <c r="Z14" s="31" t="s">
        <v>145</v>
      </c>
      <c r="AA14" s="31"/>
      <c r="AB14" s="31"/>
      <c r="AC14" s="31"/>
      <c r="AD14" s="32"/>
      <c r="AE14" s="33"/>
      <c r="AF14" s="15"/>
      <c r="AG14" s="8" t="s">
        <v>62</v>
      </c>
      <c r="AH14" s="24">
        <f>'2年本地'!AN14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'2年本地'!AN15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'2年本地'!AN16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'2年本地'!AN17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145</v>
      </c>
      <c r="C21" s="37"/>
      <c r="D21" s="37"/>
      <c r="E21" s="37"/>
      <c r="F21" s="38"/>
      <c r="G21" s="36"/>
      <c r="H21" s="37" t="s">
        <v>145</v>
      </c>
      <c r="I21" s="37"/>
      <c r="J21" s="37"/>
      <c r="K21" s="37"/>
      <c r="L21" s="38"/>
      <c r="M21" s="36"/>
      <c r="N21" s="37" t="s">
        <v>145</v>
      </c>
      <c r="O21" s="37"/>
      <c r="P21" s="37"/>
      <c r="Q21" s="37"/>
      <c r="R21" s="38"/>
      <c r="S21" s="36"/>
      <c r="T21" s="37" t="s">
        <v>145</v>
      </c>
      <c r="U21" s="37"/>
      <c r="V21" s="37"/>
      <c r="W21" s="37"/>
      <c r="X21" s="38"/>
      <c r="Y21" s="36"/>
      <c r="Z21" s="37" t="s">
        <v>145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市场预测!L19</f>
        <v>2</v>
      </c>
      <c r="E22" s="41"/>
      <c r="F22" s="41"/>
      <c r="G22" s="42"/>
      <c r="H22" s="12" t="s">
        <v>131</v>
      </c>
      <c r="I22" s="12"/>
      <c r="J22" s="43">
        <v>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6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30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13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23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2</v>
      </c>
      <c r="D27" s="28"/>
      <c r="E27" s="29"/>
      <c r="F27" s="23"/>
      <c r="G27" s="19"/>
      <c r="H27" s="20" t="s">
        <v>123</v>
      </c>
      <c r="I27" s="27">
        <f ca="1">IF(D45&gt;=2,RANDBETWEEN(D46,J46),0)</f>
        <v>4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6.5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5.75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3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4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145</v>
      </c>
      <c r="C30" s="31"/>
      <c r="D30" s="31"/>
      <c r="E30" s="31"/>
      <c r="F30" s="32"/>
      <c r="G30" s="19"/>
      <c r="H30" s="31" t="s">
        <v>145</v>
      </c>
      <c r="I30" s="31"/>
      <c r="J30" s="31"/>
      <c r="K30" s="31"/>
      <c r="L30" s="32"/>
      <c r="M30" s="19"/>
      <c r="N30" s="31" t="s">
        <v>145</v>
      </c>
      <c r="O30" s="31"/>
      <c r="P30" s="31"/>
      <c r="Q30" s="31"/>
      <c r="R30" s="32"/>
      <c r="S30" s="19"/>
      <c r="T30" s="31" t="s">
        <v>145</v>
      </c>
      <c r="U30" s="31"/>
      <c r="V30" s="31"/>
      <c r="W30" s="31"/>
      <c r="X30" s="32"/>
      <c r="Y30" s="19"/>
      <c r="Z30" s="31" t="s">
        <v>145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145</v>
      </c>
      <c r="C37" s="31"/>
      <c r="D37" s="31"/>
      <c r="E37" s="31"/>
      <c r="F37" s="32"/>
      <c r="G37" s="19"/>
      <c r="H37" s="31" t="s">
        <v>145</v>
      </c>
      <c r="I37" s="31"/>
      <c r="J37" s="31"/>
      <c r="K37" s="31"/>
      <c r="L37" s="32"/>
      <c r="M37" s="19"/>
      <c r="N37" s="31" t="s">
        <v>145</v>
      </c>
      <c r="O37" s="31"/>
      <c r="P37" s="31"/>
      <c r="Q37" s="31"/>
      <c r="R37" s="32"/>
      <c r="S37" s="19"/>
      <c r="T37" s="31" t="s">
        <v>145</v>
      </c>
      <c r="U37" s="31"/>
      <c r="V37" s="31"/>
      <c r="W37" s="31"/>
      <c r="X37" s="32"/>
      <c r="Y37" s="19"/>
      <c r="Z37" s="31" t="s">
        <v>145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145</v>
      </c>
      <c r="C44" s="37"/>
      <c r="D44" s="37"/>
      <c r="E44" s="37"/>
      <c r="F44" s="38"/>
      <c r="G44" s="36"/>
      <c r="H44" s="37" t="s">
        <v>145</v>
      </c>
      <c r="I44" s="37"/>
      <c r="J44" s="37"/>
      <c r="K44" s="37"/>
      <c r="L44" s="38"/>
      <c r="M44" s="36"/>
      <c r="N44" s="37" t="s">
        <v>145</v>
      </c>
      <c r="O44" s="37"/>
      <c r="P44" s="37"/>
      <c r="Q44" s="37"/>
      <c r="R44" s="38"/>
      <c r="S44" s="36"/>
      <c r="T44" s="37" t="s">
        <v>145</v>
      </c>
      <c r="U44" s="37"/>
      <c r="V44" s="37"/>
      <c r="W44" s="37"/>
      <c r="X44" s="38"/>
      <c r="Y44" s="36"/>
      <c r="Z44" s="37" t="s">
        <v>145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市场预测!M19</f>
        <v>2</v>
      </c>
      <c r="E45" s="41"/>
      <c r="F45" s="41"/>
      <c r="G45" s="42"/>
      <c r="H45" s="12" t="s">
        <v>131</v>
      </c>
      <c r="I45" s="12"/>
      <c r="J45" s="43">
        <v>6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6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0.75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36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31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17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4</v>
      </c>
      <c r="D50" s="28"/>
      <c r="E50" s="29"/>
      <c r="F50" s="23"/>
      <c r="G50" s="19"/>
      <c r="H50" s="20" t="s">
        <v>123</v>
      </c>
      <c r="I50" s="27">
        <f ca="1">IF(D68&gt;=2,RANDBETWEEN(D69,J69),0)</f>
        <v>2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7.75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8.5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4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145</v>
      </c>
      <c r="C53" s="31"/>
      <c r="D53" s="31"/>
      <c r="E53" s="31"/>
      <c r="F53" s="32"/>
      <c r="G53" s="19"/>
      <c r="H53" s="31" t="s">
        <v>145</v>
      </c>
      <c r="I53" s="31"/>
      <c r="J53" s="31"/>
      <c r="K53" s="31"/>
      <c r="L53" s="32"/>
      <c r="M53" s="19"/>
      <c r="N53" s="31" t="s">
        <v>145</v>
      </c>
      <c r="O53" s="31"/>
      <c r="P53" s="31"/>
      <c r="Q53" s="31"/>
      <c r="R53" s="32"/>
      <c r="S53" s="19"/>
      <c r="T53" s="31" t="s">
        <v>145</v>
      </c>
      <c r="U53" s="31"/>
      <c r="V53" s="31"/>
      <c r="W53" s="31"/>
      <c r="X53" s="32"/>
      <c r="Y53" s="19"/>
      <c r="Z53" s="31" t="s">
        <v>145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145</v>
      </c>
      <c r="C60" s="31"/>
      <c r="D60" s="31"/>
      <c r="E60" s="31"/>
      <c r="F60" s="32"/>
      <c r="G60" s="19"/>
      <c r="H60" s="31" t="s">
        <v>145</v>
      </c>
      <c r="I60" s="31"/>
      <c r="J60" s="31"/>
      <c r="K60" s="31"/>
      <c r="L60" s="32"/>
      <c r="M60" s="19"/>
      <c r="N60" s="31" t="s">
        <v>145</v>
      </c>
      <c r="O60" s="31"/>
      <c r="P60" s="31"/>
      <c r="Q60" s="31"/>
      <c r="R60" s="32"/>
      <c r="S60" s="19"/>
      <c r="T60" s="31" t="s">
        <v>145</v>
      </c>
      <c r="U60" s="31"/>
      <c r="V60" s="31"/>
      <c r="W60" s="31"/>
      <c r="X60" s="32"/>
      <c r="Y60" s="19"/>
      <c r="Z60" s="31" t="s">
        <v>145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145</v>
      </c>
      <c r="C67" s="37"/>
      <c r="D67" s="37"/>
      <c r="E67" s="37"/>
      <c r="F67" s="38"/>
      <c r="G67" s="36"/>
      <c r="H67" s="37" t="s">
        <v>145</v>
      </c>
      <c r="I67" s="37"/>
      <c r="J67" s="37"/>
      <c r="K67" s="37"/>
      <c r="L67" s="38"/>
      <c r="M67" s="36"/>
      <c r="N67" s="37" t="s">
        <v>145</v>
      </c>
      <c r="O67" s="37"/>
      <c r="P67" s="37"/>
      <c r="Q67" s="37"/>
      <c r="R67" s="38"/>
      <c r="S67" s="36"/>
      <c r="T67" s="37" t="s">
        <v>145</v>
      </c>
      <c r="U67" s="37"/>
      <c r="V67" s="37"/>
      <c r="W67" s="37"/>
      <c r="X67" s="38"/>
      <c r="Y67" s="36"/>
      <c r="Z67" s="37" t="s">
        <v>145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市场预测!N19</f>
        <v>2</v>
      </c>
      <c r="E68" s="41"/>
      <c r="F68" s="41"/>
      <c r="G68" s="42"/>
      <c r="H68" s="12" t="s">
        <v>131</v>
      </c>
      <c r="I68" s="12"/>
      <c r="J68" s="43">
        <v>8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6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0.75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48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33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3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11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4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145</v>
      </c>
      <c r="C76" s="31"/>
      <c r="D76" s="31"/>
      <c r="E76" s="31"/>
      <c r="F76" s="32"/>
      <c r="G76" s="19"/>
      <c r="H76" s="31" t="s">
        <v>145</v>
      </c>
      <c r="I76" s="31"/>
      <c r="J76" s="31"/>
      <c r="K76" s="31"/>
      <c r="L76" s="32"/>
      <c r="M76" s="19"/>
      <c r="N76" s="31" t="s">
        <v>145</v>
      </c>
      <c r="O76" s="31"/>
      <c r="P76" s="31"/>
      <c r="Q76" s="31"/>
      <c r="R76" s="32"/>
      <c r="S76" s="19"/>
      <c r="T76" s="31" t="s">
        <v>145</v>
      </c>
      <c r="U76" s="31"/>
      <c r="V76" s="31"/>
      <c r="W76" s="31"/>
      <c r="X76" s="32"/>
      <c r="Y76" s="19"/>
      <c r="Z76" s="31" t="s">
        <v>145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145</v>
      </c>
      <c r="C83" s="31"/>
      <c r="D83" s="31"/>
      <c r="E83" s="31"/>
      <c r="F83" s="32"/>
      <c r="G83" s="19"/>
      <c r="H83" s="31" t="s">
        <v>145</v>
      </c>
      <c r="I83" s="31"/>
      <c r="J83" s="31"/>
      <c r="K83" s="31"/>
      <c r="L83" s="32"/>
      <c r="M83" s="19"/>
      <c r="N83" s="31" t="s">
        <v>145</v>
      </c>
      <c r="O83" s="31"/>
      <c r="P83" s="31"/>
      <c r="Q83" s="31"/>
      <c r="R83" s="32"/>
      <c r="S83" s="19"/>
      <c r="T83" s="31" t="s">
        <v>145</v>
      </c>
      <c r="U83" s="31"/>
      <c r="V83" s="31"/>
      <c r="W83" s="31"/>
      <c r="X83" s="32"/>
      <c r="Y83" s="19"/>
      <c r="Z83" s="31" t="s">
        <v>145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145</v>
      </c>
      <c r="C90" s="37"/>
      <c r="D90" s="37"/>
      <c r="E90" s="37"/>
      <c r="F90" s="38"/>
      <c r="G90" s="36"/>
      <c r="H90" s="37" t="s">
        <v>145</v>
      </c>
      <c r="I90" s="37"/>
      <c r="J90" s="37"/>
      <c r="K90" s="37"/>
      <c r="L90" s="38"/>
      <c r="M90" s="36"/>
      <c r="N90" s="37" t="s">
        <v>145</v>
      </c>
      <c r="O90" s="37"/>
      <c r="P90" s="37"/>
      <c r="Q90" s="37"/>
      <c r="R90" s="38"/>
      <c r="S90" s="36"/>
      <c r="T90" s="37" t="s">
        <v>145</v>
      </c>
      <c r="U90" s="37"/>
      <c r="V90" s="37"/>
      <c r="W90" s="37"/>
      <c r="X90" s="38"/>
      <c r="Y90" s="36"/>
      <c r="Z90" s="37" t="s">
        <v>145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市场预测!O19</f>
        <v>1</v>
      </c>
      <c r="E91" s="41"/>
      <c r="F91" s="41"/>
      <c r="G91" s="42"/>
      <c r="H91" s="12" t="s">
        <v>131</v>
      </c>
      <c r="I91" s="12"/>
      <c r="J91" s="43">
        <v>11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3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0.375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33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X92"/>
  <sheetViews>
    <sheetView view="pageBreakPreview" zoomScale="55" zoomScaleNormal="8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12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16.5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12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12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'2年区域'!AN3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2</v>
      </c>
      <c r="D4" s="28"/>
      <c r="E4" s="29"/>
      <c r="F4" s="23"/>
      <c r="G4" s="19"/>
      <c r="H4" s="20" t="s">
        <v>123</v>
      </c>
      <c r="I4" s="27">
        <f ca="1">IF(D22&gt;=2,RANDBETWEEN(D23,J23),0)</f>
        <v>3</v>
      </c>
      <c r="J4" s="28"/>
      <c r="K4" s="29"/>
      <c r="L4" s="23"/>
      <c r="M4" s="19"/>
      <c r="N4" s="20" t="s">
        <v>123</v>
      </c>
      <c r="O4" s="27">
        <f ca="1">IF(D22&gt;=3,RANDBETWEEN(D23,J23),0)</f>
        <v>2</v>
      </c>
      <c r="P4" s="28"/>
      <c r="Q4" s="29"/>
      <c r="R4" s="23"/>
      <c r="S4" s="19"/>
      <c r="T4" s="20" t="s">
        <v>123</v>
      </c>
      <c r="U4" s="27">
        <f ca="1">IF(D22&gt;=4,RANDBETWEEN(D23,J23),0)</f>
        <v>2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'2年区域'!AN4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6</v>
      </c>
      <c r="D5" s="22" t="s">
        <v>121</v>
      </c>
      <c r="E5" s="22"/>
      <c r="F5" s="23"/>
      <c r="G5" s="19"/>
      <c r="H5" s="20" t="s">
        <v>124</v>
      </c>
      <c r="I5" s="30">
        <f ca="1">I3/I4</f>
        <v>5.5</v>
      </c>
      <c r="J5" s="22" t="s">
        <v>121</v>
      </c>
      <c r="K5" s="22"/>
      <c r="L5" s="23"/>
      <c r="M5" s="19"/>
      <c r="N5" s="20" t="s">
        <v>124</v>
      </c>
      <c r="O5" s="30">
        <f ca="1">O3/O4</f>
        <v>6</v>
      </c>
      <c r="P5" s="22" t="s">
        <v>121</v>
      </c>
      <c r="Q5" s="22"/>
      <c r="R5" s="23"/>
      <c r="S5" s="19"/>
      <c r="T5" s="20" t="s">
        <v>124</v>
      </c>
      <c r="U5" s="30">
        <f ca="1">U3/U4</f>
        <v>6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'2年区域'!AN5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4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3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3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3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'2年区域'!AN6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146</v>
      </c>
      <c r="C7" s="31"/>
      <c r="D7" s="31"/>
      <c r="E7" s="31"/>
      <c r="F7" s="32"/>
      <c r="G7" s="19"/>
      <c r="H7" s="31" t="s">
        <v>146</v>
      </c>
      <c r="I7" s="31"/>
      <c r="J7" s="31"/>
      <c r="K7" s="31"/>
      <c r="L7" s="32"/>
      <c r="M7" s="19"/>
      <c r="N7" s="31" t="s">
        <v>146</v>
      </c>
      <c r="O7" s="31"/>
      <c r="P7" s="31"/>
      <c r="Q7" s="31"/>
      <c r="R7" s="32"/>
      <c r="S7" s="19"/>
      <c r="T7" s="31" t="s">
        <v>146</v>
      </c>
      <c r="U7" s="31"/>
      <c r="V7" s="31"/>
      <c r="W7" s="31"/>
      <c r="X7" s="32"/>
      <c r="Y7" s="19"/>
      <c r="Z7" s="31" t="s">
        <v>146</v>
      </c>
      <c r="AA7" s="31"/>
      <c r="AB7" s="31"/>
      <c r="AC7" s="31"/>
      <c r="AD7" s="32"/>
      <c r="AE7" s="33"/>
      <c r="AF7" s="15"/>
      <c r="AG7" s="8" t="s">
        <v>55</v>
      </c>
      <c r="AH7" s="24">
        <f>'2年区域'!AN7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'2年区域'!AN8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'2年区域'!AN9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'2年区域'!AN10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'2年区域'!AN11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'2年区域'!AN12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'2年区域'!AN13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146</v>
      </c>
      <c r="C14" s="31"/>
      <c r="D14" s="31"/>
      <c r="E14" s="31"/>
      <c r="F14" s="32"/>
      <c r="G14" s="19"/>
      <c r="H14" s="31" t="s">
        <v>146</v>
      </c>
      <c r="I14" s="31"/>
      <c r="J14" s="31"/>
      <c r="K14" s="31"/>
      <c r="L14" s="32"/>
      <c r="M14" s="19"/>
      <c r="N14" s="31" t="s">
        <v>146</v>
      </c>
      <c r="O14" s="31"/>
      <c r="P14" s="31"/>
      <c r="Q14" s="31"/>
      <c r="R14" s="32"/>
      <c r="S14" s="19"/>
      <c r="T14" s="31" t="s">
        <v>146</v>
      </c>
      <c r="U14" s="31"/>
      <c r="V14" s="31"/>
      <c r="W14" s="31"/>
      <c r="X14" s="32"/>
      <c r="Y14" s="19"/>
      <c r="Z14" s="31" t="s">
        <v>146</v>
      </c>
      <c r="AA14" s="31"/>
      <c r="AB14" s="31"/>
      <c r="AC14" s="31"/>
      <c r="AD14" s="32"/>
      <c r="AE14" s="33"/>
      <c r="AF14" s="15"/>
      <c r="AG14" s="8" t="s">
        <v>62</v>
      </c>
      <c r="AH14" s="24">
        <f>'2年区域'!AN14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'2年区域'!AN15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'2年区域'!AN16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'2年区域'!AN17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146</v>
      </c>
      <c r="C21" s="37"/>
      <c r="D21" s="37"/>
      <c r="E21" s="37"/>
      <c r="F21" s="38"/>
      <c r="G21" s="36"/>
      <c r="H21" s="37" t="s">
        <v>146</v>
      </c>
      <c r="I21" s="37"/>
      <c r="J21" s="37"/>
      <c r="K21" s="37"/>
      <c r="L21" s="38"/>
      <c r="M21" s="36"/>
      <c r="N21" s="37" t="s">
        <v>146</v>
      </c>
      <c r="O21" s="37"/>
      <c r="P21" s="37"/>
      <c r="Q21" s="37"/>
      <c r="R21" s="38"/>
      <c r="S21" s="36"/>
      <c r="T21" s="37" t="s">
        <v>146</v>
      </c>
      <c r="U21" s="37"/>
      <c r="V21" s="37"/>
      <c r="W21" s="37"/>
      <c r="X21" s="38"/>
      <c r="Y21" s="36"/>
      <c r="Z21" s="37" t="s">
        <v>146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市场预测!L29</f>
        <v>4</v>
      </c>
      <c r="E22" s="41"/>
      <c r="F22" s="41"/>
      <c r="G22" s="42"/>
      <c r="H22" s="12" t="s">
        <v>131</v>
      </c>
      <c r="I22" s="12"/>
      <c r="J22" s="43">
        <v>5.5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9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1.125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52.5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25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25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4</v>
      </c>
      <c r="D27" s="28"/>
      <c r="E27" s="29"/>
      <c r="F27" s="23"/>
      <c r="G27" s="19"/>
      <c r="H27" s="20" t="s">
        <v>123</v>
      </c>
      <c r="I27" s="27">
        <f ca="1">IF(D45&gt;=2,RANDBETWEEN(D46,J46),0)</f>
        <v>4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6.25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6.25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2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3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146</v>
      </c>
      <c r="C30" s="31"/>
      <c r="D30" s="31"/>
      <c r="E30" s="31"/>
      <c r="F30" s="32"/>
      <c r="G30" s="19"/>
      <c r="H30" s="31" t="s">
        <v>146</v>
      </c>
      <c r="I30" s="31"/>
      <c r="J30" s="31"/>
      <c r="K30" s="31"/>
      <c r="L30" s="32"/>
      <c r="M30" s="19"/>
      <c r="N30" s="31" t="s">
        <v>146</v>
      </c>
      <c r="O30" s="31"/>
      <c r="P30" s="31"/>
      <c r="Q30" s="31"/>
      <c r="R30" s="32"/>
      <c r="S30" s="19"/>
      <c r="T30" s="31" t="s">
        <v>146</v>
      </c>
      <c r="U30" s="31"/>
      <c r="V30" s="31"/>
      <c r="W30" s="31"/>
      <c r="X30" s="32"/>
      <c r="Y30" s="19"/>
      <c r="Z30" s="31" t="s">
        <v>146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146</v>
      </c>
      <c r="C37" s="31"/>
      <c r="D37" s="31"/>
      <c r="E37" s="31"/>
      <c r="F37" s="32"/>
      <c r="G37" s="19"/>
      <c r="H37" s="31" t="s">
        <v>146</v>
      </c>
      <c r="I37" s="31"/>
      <c r="J37" s="31"/>
      <c r="K37" s="31"/>
      <c r="L37" s="32"/>
      <c r="M37" s="19"/>
      <c r="N37" s="31" t="s">
        <v>146</v>
      </c>
      <c r="O37" s="31"/>
      <c r="P37" s="31"/>
      <c r="Q37" s="31"/>
      <c r="R37" s="32"/>
      <c r="S37" s="19"/>
      <c r="T37" s="31" t="s">
        <v>146</v>
      </c>
      <c r="U37" s="31"/>
      <c r="V37" s="31"/>
      <c r="W37" s="31"/>
      <c r="X37" s="32"/>
      <c r="Y37" s="19"/>
      <c r="Z37" s="31" t="s">
        <v>146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146</v>
      </c>
      <c r="C44" s="37"/>
      <c r="D44" s="37"/>
      <c r="E44" s="37"/>
      <c r="F44" s="38"/>
      <c r="G44" s="36"/>
      <c r="H44" s="37" t="s">
        <v>146</v>
      </c>
      <c r="I44" s="37"/>
      <c r="J44" s="37"/>
      <c r="K44" s="37"/>
      <c r="L44" s="38"/>
      <c r="M44" s="36"/>
      <c r="N44" s="37" t="s">
        <v>146</v>
      </c>
      <c r="O44" s="37"/>
      <c r="P44" s="37"/>
      <c r="Q44" s="37"/>
      <c r="R44" s="38"/>
      <c r="S44" s="36"/>
      <c r="T44" s="37" t="s">
        <v>146</v>
      </c>
      <c r="U44" s="37"/>
      <c r="V44" s="37"/>
      <c r="W44" s="37"/>
      <c r="X44" s="38"/>
      <c r="Y44" s="36"/>
      <c r="Z44" s="37" t="s">
        <v>146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市场预测!M29</f>
        <v>2</v>
      </c>
      <c r="E45" s="41"/>
      <c r="F45" s="41"/>
      <c r="G45" s="42"/>
      <c r="H45" s="12" t="s">
        <v>131</v>
      </c>
      <c r="I45" s="12"/>
      <c r="J45" s="43">
        <v>6.5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8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50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18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2</v>
      </c>
      <c r="D50" s="28"/>
      <c r="E50" s="29"/>
      <c r="F50" s="23"/>
      <c r="G50" s="19"/>
      <c r="H50" s="20" t="s">
        <v>123</v>
      </c>
      <c r="I50" s="27">
        <f ca="1">IF(D68&gt;=2,RANDBETWEEN(D69,J69),0)</f>
        <v>0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9</v>
      </c>
      <c r="D51" s="22" t="s">
        <v>121</v>
      </c>
      <c r="E51" s="22"/>
      <c r="F51" s="23"/>
      <c r="G51" s="19"/>
      <c r="H51" s="20" t="s">
        <v>124</v>
      </c>
      <c r="I51" s="30" t="e">
        <f ca="1">I49/I50</f>
        <v>#DIV/0!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2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0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146</v>
      </c>
      <c r="C53" s="31"/>
      <c r="D53" s="31"/>
      <c r="E53" s="31"/>
      <c r="F53" s="32"/>
      <c r="G53" s="19"/>
      <c r="H53" s="31" t="s">
        <v>146</v>
      </c>
      <c r="I53" s="31"/>
      <c r="J53" s="31"/>
      <c r="K53" s="31"/>
      <c r="L53" s="32"/>
      <c r="M53" s="19"/>
      <c r="N53" s="31" t="s">
        <v>146</v>
      </c>
      <c r="O53" s="31"/>
      <c r="P53" s="31"/>
      <c r="Q53" s="31"/>
      <c r="R53" s="32"/>
      <c r="S53" s="19"/>
      <c r="T53" s="31" t="s">
        <v>146</v>
      </c>
      <c r="U53" s="31"/>
      <c r="V53" s="31"/>
      <c r="W53" s="31"/>
      <c r="X53" s="32"/>
      <c r="Y53" s="19"/>
      <c r="Z53" s="31" t="s">
        <v>146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146</v>
      </c>
      <c r="C60" s="31"/>
      <c r="D60" s="31"/>
      <c r="E60" s="31"/>
      <c r="F60" s="32"/>
      <c r="G60" s="19"/>
      <c r="H60" s="31" t="s">
        <v>146</v>
      </c>
      <c r="I60" s="31"/>
      <c r="J60" s="31"/>
      <c r="K60" s="31"/>
      <c r="L60" s="32"/>
      <c r="M60" s="19"/>
      <c r="N60" s="31" t="s">
        <v>146</v>
      </c>
      <c r="O60" s="31"/>
      <c r="P60" s="31"/>
      <c r="Q60" s="31"/>
      <c r="R60" s="32"/>
      <c r="S60" s="19"/>
      <c r="T60" s="31" t="s">
        <v>146</v>
      </c>
      <c r="U60" s="31"/>
      <c r="V60" s="31"/>
      <c r="W60" s="31"/>
      <c r="X60" s="32"/>
      <c r="Y60" s="19"/>
      <c r="Z60" s="31" t="s">
        <v>146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146</v>
      </c>
      <c r="C67" s="37"/>
      <c r="D67" s="37"/>
      <c r="E67" s="37"/>
      <c r="F67" s="38"/>
      <c r="G67" s="36"/>
      <c r="H67" s="37" t="s">
        <v>146</v>
      </c>
      <c r="I67" s="37"/>
      <c r="J67" s="37"/>
      <c r="K67" s="37"/>
      <c r="L67" s="38"/>
      <c r="M67" s="36"/>
      <c r="N67" s="37" t="s">
        <v>146</v>
      </c>
      <c r="O67" s="37"/>
      <c r="P67" s="37"/>
      <c r="Q67" s="37"/>
      <c r="R67" s="38"/>
      <c r="S67" s="36"/>
      <c r="T67" s="37" t="s">
        <v>146</v>
      </c>
      <c r="U67" s="37"/>
      <c r="V67" s="37"/>
      <c r="W67" s="37"/>
      <c r="X67" s="38"/>
      <c r="Y67" s="36"/>
      <c r="Z67" s="37" t="s">
        <v>146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市场预测!N29</f>
        <v>1</v>
      </c>
      <c r="E68" s="41"/>
      <c r="F68" s="41"/>
      <c r="G68" s="42"/>
      <c r="H68" s="12" t="s">
        <v>131</v>
      </c>
      <c r="I68" s="12"/>
      <c r="J68" s="43">
        <v>8.5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2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0.25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18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34.5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24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3</v>
      </c>
      <c r="D73" s="28"/>
      <c r="E73" s="29"/>
      <c r="F73" s="23"/>
      <c r="G73" s="19"/>
      <c r="H73" s="20" t="s">
        <v>123</v>
      </c>
      <c r="I73" s="27">
        <f ca="1">IF(D91&gt;=2,RANDBETWEEN(D92,J92),0)</f>
        <v>2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11.5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12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2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4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146</v>
      </c>
      <c r="C76" s="31"/>
      <c r="D76" s="31"/>
      <c r="E76" s="31"/>
      <c r="F76" s="32"/>
      <c r="G76" s="19"/>
      <c r="H76" s="31" t="s">
        <v>146</v>
      </c>
      <c r="I76" s="31"/>
      <c r="J76" s="31"/>
      <c r="K76" s="31"/>
      <c r="L76" s="32"/>
      <c r="M76" s="19"/>
      <c r="N76" s="31" t="s">
        <v>146</v>
      </c>
      <c r="O76" s="31"/>
      <c r="P76" s="31"/>
      <c r="Q76" s="31"/>
      <c r="R76" s="32"/>
      <c r="S76" s="19"/>
      <c r="T76" s="31" t="s">
        <v>146</v>
      </c>
      <c r="U76" s="31"/>
      <c r="V76" s="31"/>
      <c r="W76" s="31"/>
      <c r="X76" s="32"/>
      <c r="Y76" s="19"/>
      <c r="Z76" s="31" t="s">
        <v>146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146</v>
      </c>
      <c r="C83" s="31"/>
      <c r="D83" s="31"/>
      <c r="E83" s="31"/>
      <c r="F83" s="32"/>
      <c r="G83" s="19"/>
      <c r="H83" s="31" t="s">
        <v>146</v>
      </c>
      <c r="I83" s="31"/>
      <c r="J83" s="31"/>
      <c r="K83" s="31"/>
      <c r="L83" s="32"/>
      <c r="M83" s="19"/>
      <c r="N83" s="31" t="s">
        <v>146</v>
      </c>
      <c r="O83" s="31"/>
      <c r="P83" s="31"/>
      <c r="Q83" s="31"/>
      <c r="R83" s="32"/>
      <c r="S83" s="19"/>
      <c r="T83" s="31" t="s">
        <v>146</v>
      </c>
      <c r="U83" s="31"/>
      <c r="V83" s="31"/>
      <c r="W83" s="31"/>
      <c r="X83" s="32"/>
      <c r="Y83" s="19"/>
      <c r="Z83" s="31" t="s">
        <v>146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146</v>
      </c>
      <c r="C90" s="37"/>
      <c r="D90" s="37"/>
      <c r="E90" s="37"/>
      <c r="F90" s="38"/>
      <c r="G90" s="36"/>
      <c r="H90" s="37" t="s">
        <v>146</v>
      </c>
      <c r="I90" s="37"/>
      <c r="J90" s="37"/>
      <c r="K90" s="37"/>
      <c r="L90" s="38"/>
      <c r="M90" s="36"/>
      <c r="N90" s="37" t="s">
        <v>146</v>
      </c>
      <c r="O90" s="37"/>
      <c r="P90" s="37"/>
      <c r="Q90" s="37"/>
      <c r="R90" s="38"/>
      <c r="S90" s="36"/>
      <c r="T90" s="37" t="s">
        <v>146</v>
      </c>
      <c r="U90" s="37"/>
      <c r="V90" s="37"/>
      <c r="W90" s="37"/>
      <c r="X90" s="38"/>
      <c r="Y90" s="36"/>
      <c r="Z90" s="37" t="s">
        <v>146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市场预测!O29</f>
        <v>2</v>
      </c>
      <c r="E91" s="41"/>
      <c r="F91" s="41"/>
      <c r="G91" s="42"/>
      <c r="H91" s="12" t="s">
        <v>131</v>
      </c>
      <c r="I91" s="12"/>
      <c r="J91" s="43">
        <v>11.5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5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0.625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58.5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X92"/>
  <sheetViews>
    <sheetView view="pageBreakPreview" zoomScale="55" zoomScaleNormal="85" workbookViewId="0">
      <selection activeCell="AL8" sqref="AL8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23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23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13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13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18</v>
      </c>
      <c r="AB3" s="22" t="s">
        <v>121</v>
      </c>
      <c r="AC3" s="22"/>
      <c r="AD3" s="23"/>
      <c r="AE3" s="22"/>
      <c r="AF3" s="15"/>
      <c r="AG3" s="8" t="s">
        <v>50</v>
      </c>
      <c r="AH3" s="24">
        <f>'2年全国'!AN3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4</v>
      </c>
      <c r="D4" s="28"/>
      <c r="E4" s="29"/>
      <c r="F4" s="23"/>
      <c r="G4" s="19"/>
      <c r="H4" s="20" t="s">
        <v>123</v>
      </c>
      <c r="I4" s="27">
        <f ca="1">IF(D22&gt;=2,RANDBETWEEN(D23,J23),0)</f>
        <v>4</v>
      </c>
      <c r="J4" s="28"/>
      <c r="K4" s="29"/>
      <c r="L4" s="23"/>
      <c r="M4" s="19"/>
      <c r="N4" s="20" t="s">
        <v>123</v>
      </c>
      <c r="O4" s="27">
        <f ca="1">IF(D22&gt;=3,RANDBETWEEN(D23,J23),0)</f>
        <v>2</v>
      </c>
      <c r="P4" s="28"/>
      <c r="Q4" s="29"/>
      <c r="R4" s="23"/>
      <c r="S4" s="19"/>
      <c r="T4" s="20" t="s">
        <v>123</v>
      </c>
      <c r="U4" s="27">
        <f ca="1">IF(D22&gt;=4,RANDBETWEEN(D23,J23),0)</f>
        <v>2</v>
      </c>
      <c r="V4" s="28"/>
      <c r="W4" s="29"/>
      <c r="X4" s="23"/>
      <c r="Y4" s="19"/>
      <c r="Z4" s="20" t="s">
        <v>123</v>
      </c>
      <c r="AA4" s="27">
        <f ca="1">IF(D22&gt;=5,RANDBETWEEN(D23,J23),0)</f>
        <v>3</v>
      </c>
      <c r="AB4" s="28"/>
      <c r="AC4" s="29"/>
      <c r="AD4" s="23"/>
      <c r="AE4" s="22"/>
      <c r="AF4" s="15"/>
      <c r="AG4" s="8" t="s">
        <v>52</v>
      </c>
      <c r="AH4" s="24">
        <f>'2年全国'!AN4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5.75</v>
      </c>
      <c r="D5" s="22" t="s">
        <v>121</v>
      </c>
      <c r="E5" s="22"/>
      <c r="F5" s="23"/>
      <c r="G5" s="19"/>
      <c r="H5" s="20" t="s">
        <v>124</v>
      </c>
      <c r="I5" s="30">
        <f ca="1">I3/I4</f>
        <v>5.75</v>
      </c>
      <c r="J5" s="22" t="s">
        <v>121</v>
      </c>
      <c r="K5" s="22"/>
      <c r="L5" s="23"/>
      <c r="M5" s="19"/>
      <c r="N5" s="20" t="s">
        <v>124</v>
      </c>
      <c r="O5" s="30">
        <f ca="1">O3/O4</f>
        <v>6.5</v>
      </c>
      <c r="P5" s="22" t="s">
        <v>121</v>
      </c>
      <c r="Q5" s="22"/>
      <c r="R5" s="23"/>
      <c r="S5" s="19"/>
      <c r="T5" s="20" t="s">
        <v>124</v>
      </c>
      <c r="U5" s="30">
        <f ca="1">U3/U4</f>
        <v>6.5</v>
      </c>
      <c r="V5" s="22" t="s">
        <v>121</v>
      </c>
      <c r="W5" s="22"/>
      <c r="X5" s="23"/>
      <c r="Y5" s="19"/>
      <c r="Z5" s="20" t="s">
        <v>124</v>
      </c>
      <c r="AA5" s="30">
        <f ca="1">AA3/AA4</f>
        <v>6</v>
      </c>
      <c r="AB5" s="22" t="s">
        <v>121</v>
      </c>
      <c r="AC5" s="22"/>
      <c r="AD5" s="23"/>
      <c r="AE5" s="22"/>
      <c r="AF5" s="15"/>
      <c r="AG5" s="8" t="s">
        <v>53</v>
      </c>
      <c r="AH5" s="24">
        <f>'2年全国'!AN5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2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4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3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4</v>
      </c>
      <c r="AB6" s="22" t="s">
        <v>126</v>
      </c>
      <c r="AC6" s="22"/>
      <c r="AD6" s="23"/>
      <c r="AE6" s="22"/>
      <c r="AF6" s="15"/>
      <c r="AG6" s="8" t="s">
        <v>54</v>
      </c>
      <c r="AH6" s="24">
        <f>'2年全国'!AN6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147</v>
      </c>
      <c r="C7" s="31"/>
      <c r="D7" s="31"/>
      <c r="E7" s="31"/>
      <c r="F7" s="32"/>
      <c r="G7" s="19"/>
      <c r="H7" s="31" t="s">
        <v>147</v>
      </c>
      <c r="I7" s="31"/>
      <c r="J7" s="31"/>
      <c r="K7" s="31"/>
      <c r="L7" s="32"/>
      <c r="M7" s="19"/>
      <c r="N7" s="31" t="s">
        <v>147</v>
      </c>
      <c r="O7" s="31"/>
      <c r="P7" s="31"/>
      <c r="Q7" s="31"/>
      <c r="R7" s="32"/>
      <c r="S7" s="19"/>
      <c r="T7" s="31" t="s">
        <v>147</v>
      </c>
      <c r="U7" s="31"/>
      <c r="V7" s="31"/>
      <c r="W7" s="31"/>
      <c r="X7" s="32"/>
      <c r="Y7" s="19"/>
      <c r="Z7" s="31" t="s">
        <v>147</v>
      </c>
      <c r="AA7" s="31"/>
      <c r="AB7" s="31"/>
      <c r="AC7" s="31"/>
      <c r="AD7" s="32"/>
      <c r="AE7" s="33"/>
      <c r="AF7" s="15"/>
      <c r="AG7" s="8" t="s">
        <v>55</v>
      </c>
      <c r="AH7" s="24">
        <f>'2年全国'!AN7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'2年全国'!AN8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'2年全国'!AN9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23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18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'2年全国'!AN10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4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3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'2年全国'!AN11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>
        <f ca="1">C10/C11</f>
        <v>5.75</v>
      </c>
      <c r="D12" s="22" t="s">
        <v>121</v>
      </c>
      <c r="E12" s="22"/>
      <c r="F12" s="23"/>
      <c r="G12" s="19"/>
      <c r="H12" s="20" t="s">
        <v>124</v>
      </c>
      <c r="I12" s="30">
        <f ca="1">I10/I11</f>
        <v>6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'2年全国'!AN12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4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3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'2年全国'!AN13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147</v>
      </c>
      <c r="C14" s="31"/>
      <c r="D14" s="31"/>
      <c r="E14" s="31"/>
      <c r="F14" s="32"/>
      <c r="G14" s="19"/>
      <c r="H14" s="31" t="s">
        <v>147</v>
      </c>
      <c r="I14" s="31"/>
      <c r="J14" s="31"/>
      <c r="K14" s="31"/>
      <c r="L14" s="32"/>
      <c r="M14" s="19"/>
      <c r="N14" s="31" t="s">
        <v>147</v>
      </c>
      <c r="O14" s="31"/>
      <c r="P14" s="31"/>
      <c r="Q14" s="31"/>
      <c r="R14" s="32"/>
      <c r="S14" s="19"/>
      <c r="T14" s="31" t="s">
        <v>147</v>
      </c>
      <c r="U14" s="31"/>
      <c r="V14" s="31"/>
      <c r="W14" s="31"/>
      <c r="X14" s="32"/>
      <c r="Y14" s="19"/>
      <c r="Z14" s="31" t="s">
        <v>147</v>
      </c>
      <c r="AA14" s="31"/>
      <c r="AB14" s="31"/>
      <c r="AC14" s="31"/>
      <c r="AD14" s="32"/>
      <c r="AE14" s="33"/>
      <c r="AF14" s="15"/>
      <c r="AG14" s="8" t="s">
        <v>62</v>
      </c>
      <c r="AH14" s="24">
        <f>'2年全国'!AN14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'2年全国'!AN15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'2年全国'!AN16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'2年全国'!AN17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147</v>
      </c>
      <c r="C21" s="37"/>
      <c r="D21" s="37"/>
      <c r="E21" s="37"/>
      <c r="F21" s="38"/>
      <c r="G21" s="36"/>
      <c r="H21" s="37" t="s">
        <v>147</v>
      </c>
      <c r="I21" s="37"/>
      <c r="J21" s="37"/>
      <c r="K21" s="37"/>
      <c r="L21" s="38"/>
      <c r="M21" s="36"/>
      <c r="N21" s="37" t="s">
        <v>147</v>
      </c>
      <c r="O21" s="37"/>
      <c r="P21" s="37"/>
      <c r="Q21" s="37"/>
      <c r="R21" s="38"/>
      <c r="S21" s="36"/>
      <c r="T21" s="37" t="s">
        <v>147</v>
      </c>
      <c r="U21" s="37"/>
      <c r="V21" s="37"/>
      <c r="W21" s="37"/>
      <c r="X21" s="38"/>
      <c r="Y21" s="36"/>
      <c r="Z21" s="37" t="s">
        <v>147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市场预测!L39</f>
        <v>7</v>
      </c>
      <c r="E22" s="41"/>
      <c r="F22" s="41"/>
      <c r="G22" s="42"/>
      <c r="H22" s="12" t="s">
        <v>131</v>
      </c>
      <c r="I22" s="12"/>
      <c r="J22" s="43">
        <v>6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22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2.75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131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21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21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27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27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15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3</v>
      </c>
      <c r="J27" s="28"/>
      <c r="K27" s="29"/>
      <c r="L27" s="23"/>
      <c r="M27" s="19"/>
      <c r="N27" s="20" t="s">
        <v>123</v>
      </c>
      <c r="O27" s="27">
        <f ca="1">IF(D45&gt;=3,RANDBETWEEN(D46,J46),0)</f>
        <v>4</v>
      </c>
      <c r="P27" s="28"/>
      <c r="Q27" s="29"/>
      <c r="R27" s="23"/>
      <c r="S27" s="19"/>
      <c r="T27" s="20" t="s">
        <v>123</v>
      </c>
      <c r="U27" s="27">
        <f ca="1">IF(D45&gt;=4,RANDBETWEEN(D46,J46),0)</f>
        <v>4</v>
      </c>
      <c r="V27" s="28"/>
      <c r="W27" s="29"/>
      <c r="X27" s="23"/>
      <c r="Y27" s="19"/>
      <c r="Z27" s="20" t="s">
        <v>123</v>
      </c>
      <c r="AA27" s="27">
        <f ca="1">IF(D45&gt;=5,RANDBETWEEN(D46,J46),0)</f>
        <v>2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7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7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6.75</v>
      </c>
      <c r="P28" s="22" t="s">
        <v>121</v>
      </c>
      <c r="Q28" s="22"/>
      <c r="R28" s="23"/>
      <c r="S28" s="19"/>
      <c r="T28" s="20" t="s">
        <v>124</v>
      </c>
      <c r="U28" s="30">
        <f ca="1">U26/U27</f>
        <v>6.75</v>
      </c>
      <c r="V28" s="22" t="s">
        <v>121</v>
      </c>
      <c r="W28" s="22"/>
      <c r="X28" s="23"/>
      <c r="Y28" s="19"/>
      <c r="Z28" s="20" t="s">
        <v>124</v>
      </c>
      <c r="AA28" s="30">
        <f ca="1">AA26/AA27</f>
        <v>7.5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4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2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4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2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4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147</v>
      </c>
      <c r="C30" s="31"/>
      <c r="D30" s="31"/>
      <c r="E30" s="31"/>
      <c r="F30" s="32"/>
      <c r="G30" s="19"/>
      <c r="H30" s="31" t="s">
        <v>147</v>
      </c>
      <c r="I30" s="31"/>
      <c r="J30" s="31"/>
      <c r="K30" s="31"/>
      <c r="L30" s="32"/>
      <c r="M30" s="19"/>
      <c r="N30" s="31" t="s">
        <v>147</v>
      </c>
      <c r="O30" s="31"/>
      <c r="P30" s="31"/>
      <c r="Q30" s="31"/>
      <c r="R30" s="32"/>
      <c r="S30" s="19"/>
      <c r="T30" s="31" t="s">
        <v>147</v>
      </c>
      <c r="U30" s="31"/>
      <c r="V30" s="31"/>
      <c r="W30" s="31"/>
      <c r="X30" s="32"/>
      <c r="Y30" s="19"/>
      <c r="Z30" s="31" t="s">
        <v>147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147</v>
      </c>
      <c r="C37" s="31"/>
      <c r="D37" s="31"/>
      <c r="E37" s="31"/>
      <c r="F37" s="32"/>
      <c r="G37" s="19"/>
      <c r="H37" s="31" t="s">
        <v>147</v>
      </c>
      <c r="I37" s="31"/>
      <c r="J37" s="31"/>
      <c r="K37" s="31"/>
      <c r="L37" s="32"/>
      <c r="M37" s="19"/>
      <c r="N37" s="31" t="s">
        <v>147</v>
      </c>
      <c r="O37" s="31"/>
      <c r="P37" s="31"/>
      <c r="Q37" s="31"/>
      <c r="R37" s="32"/>
      <c r="S37" s="19"/>
      <c r="T37" s="31" t="s">
        <v>147</v>
      </c>
      <c r="U37" s="31"/>
      <c r="V37" s="31"/>
      <c r="W37" s="31"/>
      <c r="X37" s="32"/>
      <c r="Y37" s="19"/>
      <c r="Z37" s="31" t="s">
        <v>147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147</v>
      </c>
      <c r="C44" s="37"/>
      <c r="D44" s="37"/>
      <c r="E44" s="37"/>
      <c r="F44" s="38"/>
      <c r="G44" s="36"/>
      <c r="H44" s="37" t="s">
        <v>147</v>
      </c>
      <c r="I44" s="37"/>
      <c r="J44" s="37"/>
      <c r="K44" s="37"/>
      <c r="L44" s="38"/>
      <c r="M44" s="36"/>
      <c r="N44" s="37" t="s">
        <v>147</v>
      </c>
      <c r="O44" s="37"/>
      <c r="P44" s="37"/>
      <c r="Q44" s="37"/>
      <c r="R44" s="38"/>
      <c r="S44" s="36"/>
      <c r="T44" s="37" t="s">
        <v>147</v>
      </c>
      <c r="U44" s="37"/>
      <c r="V44" s="37"/>
      <c r="W44" s="37"/>
      <c r="X44" s="38"/>
      <c r="Y44" s="36"/>
      <c r="Z44" s="37" t="s">
        <v>147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市场预测!M39</f>
        <v>5</v>
      </c>
      <c r="E45" s="41"/>
      <c r="F45" s="41"/>
      <c r="G45" s="42"/>
      <c r="H45" s="12" t="s">
        <v>131</v>
      </c>
      <c r="I45" s="12"/>
      <c r="J45" s="43">
        <v>7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16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2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111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19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35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35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2</v>
      </c>
      <c r="D50" s="28"/>
      <c r="E50" s="29"/>
      <c r="F50" s="23"/>
      <c r="G50" s="19"/>
      <c r="H50" s="20" t="s">
        <v>123</v>
      </c>
      <c r="I50" s="27">
        <f ca="1">IF(D68&gt;=2,RANDBETWEEN(D69,J69),0)</f>
        <v>4</v>
      </c>
      <c r="J50" s="28"/>
      <c r="K50" s="29"/>
      <c r="L50" s="23"/>
      <c r="M50" s="19"/>
      <c r="N50" s="20" t="s">
        <v>123</v>
      </c>
      <c r="O50" s="27">
        <f ca="1">IF(D68&gt;=3,RANDBETWEEN(D69,J69),0)</f>
        <v>4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9.5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8.75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8.75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4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2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4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147</v>
      </c>
      <c r="C53" s="31"/>
      <c r="D53" s="31"/>
      <c r="E53" s="31"/>
      <c r="F53" s="32"/>
      <c r="G53" s="19"/>
      <c r="H53" s="31" t="s">
        <v>147</v>
      </c>
      <c r="I53" s="31"/>
      <c r="J53" s="31"/>
      <c r="K53" s="31"/>
      <c r="L53" s="32"/>
      <c r="M53" s="19"/>
      <c r="N53" s="31" t="s">
        <v>147</v>
      </c>
      <c r="O53" s="31"/>
      <c r="P53" s="31"/>
      <c r="Q53" s="31"/>
      <c r="R53" s="32"/>
      <c r="S53" s="19"/>
      <c r="T53" s="31" t="s">
        <v>147</v>
      </c>
      <c r="U53" s="31"/>
      <c r="V53" s="31"/>
      <c r="W53" s="31"/>
      <c r="X53" s="32"/>
      <c r="Y53" s="19"/>
      <c r="Z53" s="31" t="s">
        <v>147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147</v>
      </c>
      <c r="C60" s="31"/>
      <c r="D60" s="31"/>
      <c r="E60" s="31"/>
      <c r="F60" s="32"/>
      <c r="G60" s="19"/>
      <c r="H60" s="31" t="s">
        <v>147</v>
      </c>
      <c r="I60" s="31"/>
      <c r="J60" s="31"/>
      <c r="K60" s="31"/>
      <c r="L60" s="32"/>
      <c r="M60" s="19"/>
      <c r="N60" s="31" t="s">
        <v>147</v>
      </c>
      <c r="O60" s="31"/>
      <c r="P60" s="31"/>
      <c r="Q60" s="31"/>
      <c r="R60" s="32"/>
      <c r="S60" s="19"/>
      <c r="T60" s="31" t="s">
        <v>147</v>
      </c>
      <c r="U60" s="31"/>
      <c r="V60" s="31"/>
      <c r="W60" s="31"/>
      <c r="X60" s="32"/>
      <c r="Y60" s="19"/>
      <c r="Z60" s="31" t="s">
        <v>147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147</v>
      </c>
      <c r="C67" s="37"/>
      <c r="D67" s="37"/>
      <c r="E67" s="37"/>
      <c r="F67" s="38"/>
      <c r="G67" s="36"/>
      <c r="H67" s="37" t="s">
        <v>147</v>
      </c>
      <c r="I67" s="37"/>
      <c r="J67" s="37"/>
      <c r="K67" s="37"/>
      <c r="L67" s="38"/>
      <c r="M67" s="36"/>
      <c r="N67" s="37" t="s">
        <v>147</v>
      </c>
      <c r="O67" s="37"/>
      <c r="P67" s="37"/>
      <c r="Q67" s="37"/>
      <c r="R67" s="38"/>
      <c r="S67" s="36"/>
      <c r="T67" s="37" t="s">
        <v>147</v>
      </c>
      <c r="U67" s="37"/>
      <c r="V67" s="37"/>
      <c r="W67" s="37"/>
      <c r="X67" s="38"/>
      <c r="Y67" s="36"/>
      <c r="Z67" s="37" t="s">
        <v>147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市场预测!N39</f>
        <v>3</v>
      </c>
      <c r="E68" s="41"/>
      <c r="F68" s="41"/>
      <c r="G68" s="42"/>
      <c r="H68" s="12" t="s">
        <v>131</v>
      </c>
      <c r="I68" s="12"/>
      <c r="J68" s="43">
        <v>9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10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1.25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89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36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3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12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2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147</v>
      </c>
      <c r="C76" s="31"/>
      <c r="D76" s="31"/>
      <c r="E76" s="31"/>
      <c r="F76" s="32"/>
      <c r="G76" s="19"/>
      <c r="H76" s="31" t="s">
        <v>147</v>
      </c>
      <c r="I76" s="31"/>
      <c r="J76" s="31"/>
      <c r="K76" s="31"/>
      <c r="L76" s="32"/>
      <c r="M76" s="19"/>
      <c r="N76" s="31" t="s">
        <v>147</v>
      </c>
      <c r="O76" s="31"/>
      <c r="P76" s="31"/>
      <c r="Q76" s="31"/>
      <c r="R76" s="32"/>
      <c r="S76" s="19"/>
      <c r="T76" s="31" t="s">
        <v>147</v>
      </c>
      <c r="U76" s="31"/>
      <c r="V76" s="31"/>
      <c r="W76" s="31"/>
      <c r="X76" s="32"/>
      <c r="Y76" s="19"/>
      <c r="Z76" s="31" t="s">
        <v>147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147</v>
      </c>
      <c r="C83" s="31"/>
      <c r="D83" s="31"/>
      <c r="E83" s="31"/>
      <c r="F83" s="32"/>
      <c r="G83" s="19"/>
      <c r="H83" s="31" t="s">
        <v>147</v>
      </c>
      <c r="I83" s="31"/>
      <c r="J83" s="31"/>
      <c r="K83" s="31"/>
      <c r="L83" s="32"/>
      <c r="M83" s="19"/>
      <c r="N83" s="31" t="s">
        <v>147</v>
      </c>
      <c r="O83" s="31"/>
      <c r="P83" s="31"/>
      <c r="Q83" s="31"/>
      <c r="R83" s="32"/>
      <c r="S83" s="19"/>
      <c r="T83" s="31" t="s">
        <v>147</v>
      </c>
      <c r="U83" s="31"/>
      <c r="V83" s="31"/>
      <c r="W83" s="31"/>
      <c r="X83" s="32"/>
      <c r="Y83" s="19"/>
      <c r="Z83" s="31" t="s">
        <v>147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147</v>
      </c>
      <c r="C90" s="37"/>
      <c r="D90" s="37"/>
      <c r="E90" s="37"/>
      <c r="F90" s="38"/>
      <c r="G90" s="36"/>
      <c r="H90" s="37" t="s">
        <v>147</v>
      </c>
      <c r="I90" s="37"/>
      <c r="J90" s="37"/>
      <c r="K90" s="37"/>
      <c r="L90" s="38"/>
      <c r="M90" s="36"/>
      <c r="N90" s="37" t="s">
        <v>147</v>
      </c>
      <c r="O90" s="37"/>
      <c r="P90" s="37"/>
      <c r="Q90" s="37"/>
      <c r="R90" s="38"/>
      <c r="S90" s="36"/>
      <c r="T90" s="37" t="s">
        <v>147</v>
      </c>
      <c r="U90" s="37"/>
      <c r="V90" s="37"/>
      <c r="W90" s="37"/>
      <c r="X90" s="38"/>
      <c r="Y90" s="36"/>
      <c r="Z90" s="37" t="s">
        <v>147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市场预测!O39</f>
        <v>1</v>
      </c>
      <c r="E91" s="41"/>
      <c r="F91" s="41"/>
      <c r="G91" s="42"/>
      <c r="H91" s="12" t="s">
        <v>131</v>
      </c>
      <c r="I91" s="12"/>
      <c r="J91" s="43">
        <v>12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3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0.375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36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X92"/>
  <sheetViews>
    <sheetView view="pageBreakPreview" zoomScale="55" zoomScaleNormal="85" topLeftCell="A69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0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'2年全球'!AN3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0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'2年全球'!AN4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 t="e">
        <f ca="1">C3/C4</f>
        <v>#DIV/0!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'2年全球'!AN5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0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'2年全球'!AN6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148</v>
      </c>
      <c r="C7" s="31"/>
      <c r="D7" s="31"/>
      <c r="E7" s="31"/>
      <c r="F7" s="32"/>
      <c r="G7" s="19"/>
      <c r="H7" s="31" t="s">
        <v>148</v>
      </c>
      <c r="I7" s="31"/>
      <c r="J7" s="31"/>
      <c r="K7" s="31"/>
      <c r="L7" s="32"/>
      <c r="M7" s="19"/>
      <c r="N7" s="31" t="s">
        <v>148</v>
      </c>
      <c r="O7" s="31"/>
      <c r="P7" s="31"/>
      <c r="Q7" s="31"/>
      <c r="R7" s="32"/>
      <c r="S7" s="19"/>
      <c r="T7" s="31" t="s">
        <v>148</v>
      </c>
      <c r="U7" s="31"/>
      <c r="V7" s="31"/>
      <c r="W7" s="31"/>
      <c r="X7" s="32"/>
      <c r="Y7" s="19"/>
      <c r="Z7" s="31" t="s">
        <v>148</v>
      </c>
      <c r="AA7" s="31"/>
      <c r="AB7" s="31"/>
      <c r="AC7" s="31"/>
      <c r="AD7" s="32"/>
      <c r="AE7" s="33"/>
      <c r="AF7" s="15"/>
      <c r="AG7" s="8" t="s">
        <v>55</v>
      </c>
      <c r="AH7" s="24">
        <f>'2年全球'!AN7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'2年全球'!AN8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'2年全球'!AN9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'2年全球'!AN10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'2年全球'!AN11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'2年全球'!AN12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'2年全球'!AN13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148</v>
      </c>
      <c r="C14" s="31"/>
      <c r="D14" s="31"/>
      <c r="E14" s="31"/>
      <c r="F14" s="32"/>
      <c r="G14" s="19"/>
      <c r="H14" s="31" t="s">
        <v>148</v>
      </c>
      <c r="I14" s="31"/>
      <c r="J14" s="31"/>
      <c r="K14" s="31"/>
      <c r="L14" s="32"/>
      <c r="M14" s="19"/>
      <c r="N14" s="31" t="s">
        <v>148</v>
      </c>
      <c r="O14" s="31"/>
      <c r="P14" s="31"/>
      <c r="Q14" s="31"/>
      <c r="R14" s="32"/>
      <c r="S14" s="19"/>
      <c r="T14" s="31" t="s">
        <v>148</v>
      </c>
      <c r="U14" s="31"/>
      <c r="V14" s="31"/>
      <c r="W14" s="31"/>
      <c r="X14" s="32"/>
      <c r="Y14" s="19"/>
      <c r="Z14" s="31" t="s">
        <v>148</v>
      </c>
      <c r="AA14" s="31"/>
      <c r="AB14" s="31"/>
      <c r="AC14" s="31"/>
      <c r="AD14" s="32"/>
      <c r="AE14" s="33"/>
      <c r="AF14" s="15"/>
      <c r="AG14" s="8" t="s">
        <v>62</v>
      </c>
      <c r="AH14" s="24">
        <f>'2年全球'!AN14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'2年全球'!AN15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'2年全球'!AN16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'2年全球'!AN17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148</v>
      </c>
      <c r="C21" s="37"/>
      <c r="D21" s="37"/>
      <c r="E21" s="37"/>
      <c r="F21" s="38"/>
      <c r="G21" s="36"/>
      <c r="H21" s="37" t="s">
        <v>148</v>
      </c>
      <c r="I21" s="37"/>
      <c r="J21" s="37"/>
      <c r="K21" s="37"/>
      <c r="L21" s="38"/>
      <c r="M21" s="36"/>
      <c r="N21" s="37" t="s">
        <v>148</v>
      </c>
      <c r="O21" s="37"/>
      <c r="P21" s="37"/>
      <c r="Q21" s="37"/>
      <c r="R21" s="38"/>
      <c r="S21" s="36"/>
      <c r="T21" s="37" t="s">
        <v>148</v>
      </c>
      <c r="U21" s="37"/>
      <c r="V21" s="37"/>
      <c r="W21" s="37"/>
      <c r="X21" s="38"/>
      <c r="Y21" s="36"/>
      <c r="Z21" s="37" t="s">
        <v>148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市场预测!L49</f>
        <v>0</v>
      </c>
      <c r="E22" s="41"/>
      <c r="F22" s="41"/>
      <c r="G22" s="42"/>
      <c r="H22" s="12" t="s">
        <v>131</v>
      </c>
      <c r="I22" s="12"/>
      <c r="J22" s="43">
        <v>7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0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0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0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0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0</v>
      </c>
      <c r="D27" s="28"/>
      <c r="E27" s="29"/>
      <c r="F27" s="23"/>
      <c r="G27" s="19"/>
      <c r="H27" s="20" t="s">
        <v>123</v>
      </c>
      <c r="I27" s="27">
        <f ca="1">IF(D45&gt;=2,RANDBETWEEN(D46,J46),0)</f>
        <v>0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 t="e">
        <f ca="1">C26/C27</f>
        <v>#DIV/0!</v>
      </c>
      <c r="D28" s="22" t="s">
        <v>121</v>
      </c>
      <c r="E28" s="22"/>
      <c r="F28" s="23"/>
      <c r="G28" s="19"/>
      <c r="H28" s="20" t="s">
        <v>124</v>
      </c>
      <c r="I28" s="30" t="e">
        <f ca="1">I26/I27</f>
        <v>#DIV/0!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0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0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148</v>
      </c>
      <c r="C30" s="31"/>
      <c r="D30" s="31"/>
      <c r="E30" s="31"/>
      <c r="F30" s="32"/>
      <c r="G30" s="19"/>
      <c r="H30" s="31" t="s">
        <v>148</v>
      </c>
      <c r="I30" s="31"/>
      <c r="J30" s="31"/>
      <c r="K30" s="31"/>
      <c r="L30" s="32"/>
      <c r="M30" s="19"/>
      <c r="N30" s="31" t="s">
        <v>148</v>
      </c>
      <c r="O30" s="31"/>
      <c r="P30" s="31"/>
      <c r="Q30" s="31"/>
      <c r="R30" s="32"/>
      <c r="S30" s="19"/>
      <c r="T30" s="31" t="s">
        <v>148</v>
      </c>
      <c r="U30" s="31"/>
      <c r="V30" s="31"/>
      <c r="W30" s="31"/>
      <c r="X30" s="32"/>
      <c r="Y30" s="19"/>
      <c r="Z30" s="31" t="s">
        <v>148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148</v>
      </c>
      <c r="C37" s="31"/>
      <c r="D37" s="31"/>
      <c r="E37" s="31"/>
      <c r="F37" s="32"/>
      <c r="G37" s="19"/>
      <c r="H37" s="31" t="s">
        <v>148</v>
      </c>
      <c r="I37" s="31"/>
      <c r="J37" s="31"/>
      <c r="K37" s="31"/>
      <c r="L37" s="32"/>
      <c r="M37" s="19"/>
      <c r="N37" s="31" t="s">
        <v>148</v>
      </c>
      <c r="O37" s="31"/>
      <c r="P37" s="31"/>
      <c r="Q37" s="31"/>
      <c r="R37" s="32"/>
      <c r="S37" s="19"/>
      <c r="T37" s="31" t="s">
        <v>148</v>
      </c>
      <c r="U37" s="31"/>
      <c r="V37" s="31"/>
      <c r="W37" s="31"/>
      <c r="X37" s="32"/>
      <c r="Y37" s="19"/>
      <c r="Z37" s="31" t="s">
        <v>148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148</v>
      </c>
      <c r="C44" s="37"/>
      <c r="D44" s="37"/>
      <c r="E44" s="37"/>
      <c r="F44" s="38"/>
      <c r="G44" s="36"/>
      <c r="H44" s="37" t="s">
        <v>148</v>
      </c>
      <c r="I44" s="37"/>
      <c r="J44" s="37"/>
      <c r="K44" s="37"/>
      <c r="L44" s="38"/>
      <c r="M44" s="36"/>
      <c r="N44" s="37" t="s">
        <v>148</v>
      </c>
      <c r="O44" s="37"/>
      <c r="P44" s="37"/>
      <c r="Q44" s="37"/>
      <c r="R44" s="38"/>
      <c r="S44" s="36"/>
      <c r="T44" s="37" t="s">
        <v>148</v>
      </c>
      <c r="U44" s="37"/>
      <c r="V44" s="37"/>
      <c r="W44" s="37"/>
      <c r="X44" s="38"/>
      <c r="Y44" s="36"/>
      <c r="Z44" s="37" t="s">
        <v>148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市场预测!M49</f>
        <v>0</v>
      </c>
      <c r="E45" s="41"/>
      <c r="F45" s="41"/>
      <c r="G45" s="42"/>
      <c r="H45" s="12" t="s">
        <v>131</v>
      </c>
      <c r="I45" s="12"/>
      <c r="J45" s="43">
        <v>8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0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0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0</v>
      </c>
      <c r="D50" s="28"/>
      <c r="E50" s="29"/>
      <c r="F50" s="23"/>
      <c r="G50" s="19"/>
      <c r="H50" s="20" t="s">
        <v>123</v>
      </c>
      <c r="I50" s="27">
        <f ca="1">IF(D68&gt;=2,RANDBETWEEN(D69,J69),0)</f>
        <v>0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 t="e">
        <f ca="1">C49/C50</f>
        <v>#DIV/0!</v>
      </c>
      <c r="D51" s="22" t="s">
        <v>121</v>
      </c>
      <c r="E51" s="22"/>
      <c r="F51" s="23"/>
      <c r="G51" s="19"/>
      <c r="H51" s="20" t="s">
        <v>124</v>
      </c>
      <c r="I51" s="30" t="e">
        <f ca="1">I49/I50</f>
        <v>#DIV/0!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0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0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148</v>
      </c>
      <c r="C53" s="31"/>
      <c r="D53" s="31"/>
      <c r="E53" s="31"/>
      <c r="F53" s="32"/>
      <c r="G53" s="19"/>
      <c r="H53" s="31" t="s">
        <v>148</v>
      </c>
      <c r="I53" s="31"/>
      <c r="J53" s="31"/>
      <c r="K53" s="31"/>
      <c r="L53" s="32"/>
      <c r="M53" s="19"/>
      <c r="N53" s="31" t="s">
        <v>148</v>
      </c>
      <c r="O53" s="31"/>
      <c r="P53" s="31"/>
      <c r="Q53" s="31"/>
      <c r="R53" s="32"/>
      <c r="S53" s="19"/>
      <c r="T53" s="31" t="s">
        <v>148</v>
      </c>
      <c r="U53" s="31"/>
      <c r="V53" s="31"/>
      <c r="W53" s="31"/>
      <c r="X53" s="32"/>
      <c r="Y53" s="19"/>
      <c r="Z53" s="31" t="s">
        <v>148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148</v>
      </c>
      <c r="C60" s="31"/>
      <c r="D60" s="31"/>
      <c r="E60" s="31"/>
      <c r="F60" s="32"/>
      <c r="G60" s="19"/>
      <c r="H60" s="31" t="s">
        <v>148</v>
      </c>
      <c r="I60" s="31"/>
      <c r="J60" s="31"/>
      <c r="K60" s="31"/>
      <c r="L60" s="32"/>
      <c r="M60" s="19"/>
      <c r="N60" s="31" t="s">
        <v>148</v>
      </c>
      <c r="O60" s="31"/>
      <c r="P60" s="31"/>
      <c r="Q60" s="31"/>
      <c r="R60" s="32"/>
      <c r="S60" s="19"/>
      <c r="T60" s="31" t="s">
        <v>148</v>
      </c>
      <c r="U60" s="31"/>
      <c r="V60" s="31"/>
      <c r="W60" s="31"/>
      <c r="X60" s="32"/>
      <c r="Y60" s="19"/>
      <c r="Z60" s="31" t="s">
        <v>148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148</v>
      </c>
      <c r="C67" s="37"/>
      <c r="D67" s="37"/>
      <c r="E67" s="37"/>
      <c r="F67" s="38"/>
      <c r="G67" s="36"/>
      <c r="H67" s="37" t="s">
        <v>148</v>
      </c>
      <c r="I67" s="37"/>
      <c r="J67" s="37"/>
      <c r="K67" s="37"/>
      <c r="L67" s="38"/>
      <c r="M67" s="36"/>
      <c r="N67" s="37" t="s">
        <v>148</v>
      </c>
      <c r="O67" s="37"/>
      <c r="P67" s="37"/>
      <c r="Q67" s="37"/>
      <c r="R67" s="38"/>
      <c r="S67" s="36"/>
      <c r="T67" s="37" t="s">
        <v>148</v>
      </c>
      <c r="U67" s="37"/>
      <c r="V67" s="37"/>
      <c r="W67" s="37"/>
      <c r="X67" s="38"/>
      <c r="Y67" s="36"/>
      <c r="Z67" s="37" t="s">
        <v>148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市场预测!N49</f>
        <v>0</v>
      </c>
      <c r="E68" s="41"/>
      <c r="F68" s="41"/>
      <c r="G68" s="42"/>
      <c r="H68" s="12" t="s">
        <v>131</v>
      </c>
      <c r="I68" s="12"/>
      <c r="J68" s="43">
        <v>10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0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0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0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0</v>
      </c>
      <c r="D73" s="28"/>
      <c r="E73" s="29"/>
      <c r="F73" s="23"/>
      <c r="G73" s="19"/>
      <c r="H73" s="20" t="s">
        <v>123</v>
      </c>
      <c r="I73" s="27">
        <f ca="1">IF(D91&gt;=2,RANDBETWEEN(D92,J92),0)</f>
        <v>0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 t="e">
        <f ca="1">C72/C73</f>
        <v>#DIV/0!</v>
      </c>
      <c r="D74" s="22" t="s">
        <v>121</v>
      </c>
      <c r="E74" s="22"/>
      <c r="F74" s="23"/>
      <c r="G74" s="19"/>
      <c r="H74" s="20" t="s">
        <v>124</v>
      </c>
      <c r="I74" s="30" t="e">
        <f ca="1">I72/I73</f>
        <v>#DIV/0!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0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0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148</v>
      </c>
      <c r="C76" s="31"/>
      <c r="D76" s="31"/>
      <c r="E76" s="31"/>
      <c r="F76" s="32"/>
      <c r="G76" s="19"/>
      <c r="H76" s="31" t="s">
        <v>148</v>
      </c>
      <c r="I76" s="31"/>
      <c r="J76" s="31"/>
      <c r="K76" s="31"/>
      <c r="L76" s="32"/>
      <c r="M76" s="19"/>
      <c r="N76" s="31" t="s">
        <v>148</v>
      </c>
      <c r="O76" s="31"/>
      <c r="P76" s="31"/>
      <c r="Q76" s="31"/>
      <c r="R76" s="32"/>
      <c r="S76" s="19"/>
      <c r="T76" s="31" t="s">
        <v>148</v>
      </c>
      <c r="U76" s="31"/>
      <c r="V76" s="31"/>
      <c r="W76" s="31"/>
      <c r="X76" s="32"/>
      <c r="Y76" s="19"/>
      <c r="Z76" s="31" t="s">
        <v>148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148</v>
      </c>
      <c r="C83" s="31"/>
      <c r="D83" s="31"/>
      <c r="E83" s="31"/>
      <c r="F83" s="32"/>
      <c r="G83" s="19"/>
      <c r="H83" s="31" t="s">
        <v>148</v>
      </c>
      <c r="I83" s="31"/>
      <c r="J83" s="31"/>
      <c r="K83" s="31"/>
      <c r="L83" s="32"/>
      <c r="M83" s="19"/>
      <c r="N83" s="31" t="s">
        <v>148</v>
      </c>
      <c r="O83" s="31"/>
      <c r="P83" s="31"/>
      <c r="Q83" s="31"/>
      <c r="R83" s="32"/>
      <c r="S83" s="19"/>
      <c r="T83" s="31" t="s">
        <v>148</v>
      </c>
      <c r="U83" s="31"/>
      <c r="V83" s="31"/>
      <c r="W83" s="31"/>
      <c r="X83" s="32"/>
      <c r="Y83" s="19"/>
      <c r="Z83" s="31" t="s">
        <v>148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148</v>
      </c>
      <c r="C90" s="37"/>
      <c r="D90" s="37"/>
      <c r="E90" s="37"/>
      <c r="F90" s="38"/>
      <c r="G90" s="36"/>
      <c r="H90" s="37" t="s">
        <v>148</v>
      </c>
      <c r="I90" s="37"/>
      <c r="J90" s="37"/>
      <c r="K90" s="37"/>
      <c r="L90" s="38"/>
      <c r="M90" s="36"/>
      <c r="N90" s="37" t="s">
        <v>148</v>
      </c>
      <c r="O90" s="37"/>
      <c r="P90" s="37"/>
      <c r="Q90" s="37"/>
      <c r="R90" s="38"/>
      <c r="S90" s="36"/>
      <c r="T90" s="37" t="s">
        <v>148</v>
      </c>
      <c r="U90" s="37"/>
      <c r="V90" s="37"/>
      <c r="W90" s="37"/>
      <c r="X90" s="38"/>
      <c r="Y90" s="36"/>
      <c r="Z90" s="37" t="s">
        <v>148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市场预测!O49</f>
        <v>0</v>
      </c>
      <c r="E91" s="41"/>
      <c r="F91" s="41"/>
      <c r="G91" s="42"/>
      <c r="H91" s="12" t="s">
        <v>131</v>
      </c>
      <c r="I91" s="12"/>
      <c r="J91" s="43">
        <v>13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0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AX92"/>
  <sheetViews>
    <sheetView view="pageBreakPreview" zoomScale="55" zoomScaleNormal="8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15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15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15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'3年本地'!AN3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3</v>
      </c>
      <c r="D4" s="28"/>
      <c r="E4" s="29"/>
      <c r="F4" s="23"/>
      <c r="G4" s="19"/>
      <c r="H4" s="20" t="s">
        <v>123</v>
      </c>
      <c r="I4" s="27">
        <f ca="1">IF(D22&gt;=2,RANDBETWEEN(D23,J23),0)</f>
        <v>3</v>
      </c>
      <c r="J4" s="28"/>
      <c r="K4" s="29"/>
      <c r="L4" s="23"/>
      <c r="M4" s="19"/>
      <c r="N4" s="20" t="s">
        <v>123</v>
      </c>
      <c r="O4" s="27">
        <f ca="1">IF(D22&gt;=3,RANDBETWEEN(D23,J23),0)</f>
        <v>3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'3年本地'!AN4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</v>
      </c>
      <c r="D5" s="22" t="s">
        <v>121</v>
      </c>
      <c r="E5" s="22"/>
      <c r="F5" s="23"/>
      <c r="G5" s="19"/>
      <c r="H5" s="20" t="s">
        <v>124</v>
      </c>
      <c r="I5" s="30">
        <f ca="1">I3/I4</f>
        <v>5</v>
      </c>
      <c r="J5" s="22" t="s">
        <v>121</v>
      </c>
      <c r="K5" s="22"/>
      <c r="L5" s="23"/>
      <c r="M5" s="19"/>
      <c r="N5" s="20" t="s">
        <v>124</v>
      </c>
      <c r="O5" s="30">
        <f ca="1">O3/O4</f>
        <v>5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'3年本地'!AN5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2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2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'3年本地'!AN6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149</v>
      </c>
      <c r="C7" s="31"/>
      <c r="D7" s="31"/>
      <c r="E7" s="31"/>
      <c r="F7" s="32"/>
      <c r="G7" s="19"/>
      <c r="H7" s="31" t="s">
        <v>149</v>
      </c>
      <c r="I7" s="31"/>
      <c r="J7" s="31"/>
      <c r="K7" s="31"/>
      <c r="L7" s="32"/>
      <c r="M7" s="19"/>
      <c r="N7" s="31" t="s">
        <v>149</v>
      </c>
      <c r="O7" s="31"/>
      <c r="P7" s="31"/>
      <c r="Q7" s="31"/>
      <c r="R7" s="32"/>
      <c r="S7" s="19"/>
      <c r="T7" s="31" t="s">
        <v>149</v>
      </c>
      <c r="U7" s="31"/>
      <c r="V7" s="31"/>
      <c r="W7" s="31"/>
      <c r="X7" s="32"/>
      <c r="Y7" s="19"/>
      <c r="Z7" s="31" t="s">
        <v>149</v>
      </c>
      <c r="AA7" s="31"/>
      <c r="AB7" s="31"/>
      <c r="AC7" s="31"/>
      <c r="AD7" s="32"/>
      <c r="AE7" s="33"/>
      <c r="AF7" s="15"/>
      <c r="AG7" s="8" t="s">
        <v>55</v>
      </c>
      <c r="AH7" s="24">
        <f>'3年本地'!AN7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'3年本地'!AN8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'3年本地'!AN9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'3年本地'!AN10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'3年本地'!AN11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'3年本地'!AN12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'3年本地'!AN13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149</v>
      </c>
      <c r="C14" s="31"/>
      <c r="D14" s="31"/>
      <c r="E14" s="31"/>
      <c r="F14" s="32"/>
      <c r="G14" s="19"/>
      <c r="H14" s="31" t="s">
        <v>149</v>
      </c>
      <c r="I14" s="31"/>
      <c r="J14" s="31"/>
      <c r="K14" s="31"/>
      <c r="L14" s="32"/>
      <c r="M14" s="19"/>
      <c r="N14" s="31" t="s">
        <v>149</v>
      </c>
      <c r="O14" s="31"/>
      <c r="P14" s="31"/>
      <c r="Q14" s="31"/>
      <c r="R14" s="32"/>
      <c r="S14" s="19"/>
      <c r="T14" s="31" t="s">
        <v>149</v>
      </c>
      <c r="U14" s="31"/>
      <c r="V14" s="31"/>
      <c r="W14" s="31"/>
      <c r="X14" s="32"/>
      <c r="Y14" s="19"/>
      <c r="Z14" s="31" t="s">
        <v>149</v>
      </c>
      <c r="AA14" s="31"/>
      <c r="AB14" s="31"/>
      <c r="AC14" s="31"/>
      <c r="AD14" s="32"/>
      <c r="AE14" s="33"/>
      <c r="AF14" s="15"/>
      <c r="AG14" s="8" t="s">
        <v>62</v>
      </c>
      <c r="AH14" s="24">
        <f>'3年本地'!AN14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'3年本地'!AN15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'3年本地'!AN16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'3年本地'!AN17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149</v>
      </c>
      <c r="C21" s="37"/>
      <c r="D21" s="37"/>
      <c r="E21" s="37"/>
      <c r="F21" s="38"/>
      <c r="G21" s="36"/>
      <c r="H21" s="37" t="s">
        <v>149</v>
      </c>
      <c r="I21" s="37"/>
      <c r="J21" s="37"/>
      <c r="K21" s="37"/>
      <c r="L21" s="38"/>
      <c r="M21" s="36"/>
      <c r="N21" s="37" t="s">
        <v>149</v>
      </c>
      <c r="O21" s="37"/>
      <c r="P21" s="37"/>
      <c r="Q21" s="37"/>
      <c r="R21" s="38"/>
      <c r="S21" s="36"/>
      <c r="T21" s="37" t="s">
        <v>149</v>
      </c>
      <c r="U21" s="37"/>
      <c r="V21" s="37"/>
      <c r="W21" s="37"/>
      <c r="X21" s="38"/>
      <c r="Y21" s="36"/>
      <c r="Z21" s="37" t="s">
        <v>149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市场预测!L20</f>
        <v>3</v>
      </c>
      <c r="E22" s="41"/>
      <c r="F22" s="41"/>
      <c r="G22" s="42"/>
      <c r="H22" s="12" t="s">
        <v>131</v>
      </c>
      <c r="I22" s="12"/>
      <c r="J22" s="43">
        <v>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9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1.125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45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18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13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13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13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2</v>
      </c>
      <c r="J27" s="28"/>
      <c r="K27" s="29"/>
      <c r="L27" s="23"/>
      <c r="M27" s="19"/>
      <c r="N27" s="20" t="s">
        <v>123</v>
      </c>
      <c r="O27" s="27">
        <f ca="1">IF(D45&gt;=3,RANDBETWEEN(D46,J46),0)</f>
        <v>2</v>
      </c>
      <c r="P27" s="28"/>
      <c r="Q27" s="29"/>
      <c r="R27" s="23"/>
      <c r="S27" s="19"/>
      <c r="T27" s="20" t="s">
        <v>123</v>
      </c>
      <c r="U27" s="27">
        <f ca="1">IF(D45&gt;=4,RANDBETWEEN(D46,J46),0)</f>
        <v>2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6.5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6.5</v>
      </c>
      <c r="P28" s="22" t="s">
        <v>121</v>
      </c>
      <c r="Q28" s="22"/>
      <c r="R28" s="23"/>
      <c r="S28" s="19"/>
      <c r="T28" s="20" t="s">
        <v>124</v>
      </c>
      <c r="U28" s="30">
        <f ca="1">U26/U27</f>
        <v>6.5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2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4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2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3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149</v>
      </c>
      <c r="C30" s="31"/>
      <c r="D30" s="31"/>
      <c r="E30" s="31"/>
      <c r="F30" s="32"/>
      <c r="G30" s="19"/>
      <c r="H30" s="31" t="s">
        <v>149</v>
      </c>
      <c r="I30" s="31"/>
      <c r="J30" s="31"/>
      <c r="K30" s="31"/>
      <c r="L30" s="32"/>
      <c r="M30" s="19"/>
      <c r="N30" s="31" t="s">
        <v>149</v>
      </c>
      <c r="O30" s="31"/>
      <c r="P30" s="31"/>
      <c r="Q30" s="31"/>
      <c r="R30" s="32"/>
      <c r="S30" s="19"/>
      <c r="T30" s="31" t="s">
        <v>149</v>
      </c>
      <c r="U30" s="31"/>
      <c r="V30" s="31"/>
      <c r="W30" s="31"/>
      <c r="X30" s="32"/>
      <c r="Y30" s="19"/>
      <c r="Z30" s="31" t="s">
        <v>149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149</v>
      </c>
      <c r="C37" s="31"/>
      <c r="D37" s="31"/>
      <c r="E37" s="31"/>
      <c r="F37" s="32"/>
      <c r="G37" s="19"/>
      <c r="H37" s="31" t="s">
        <v>149</v>
      </c>
      <c r="I37" s="31"/>
      <c r="J37" s="31"/>
      <c r="K37" s="31"/>
      <c r="L37" s="32"/>
      <c r="M37" s="19"/>
      <c r="N37" s="31" t="s">
        <v>149</v>
      </c>
      <c r="O37" s="31"/>
      <c r="P37" s="31"/>
      <c r="Q37" s="31"/>
      <c r="R37" s="32"/>
      <c r="S37" s="19"/>
      <c r="T37" s="31" t="s">
        <v>149</v>
      </c>
      <c r="U37" s="31"/>
      <c r="V37" s="31"/>
      <c r="W37" s="31"/>
      <c r="X37" s="32"/>
      <c r="Y37" s="19"/>
      <c r="Z37" s="31" t="s">
        <v>149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149</v>
      </c>
      <c r="C44" s="37"/>
      <c r="D44" s="37"/>
      <c r="E44" s="37"/>
      <c r="F44" s="38"/>
      <c r="G44" s="36"/>
      <c r="H44" s="37" t="s">
        <v>149</v>
      </c>
      <c r="I44" s="37"/>
      <c r="J44" s="37"/>
      <c r="K44" s="37"/>
      <c r="L44" s="38"/>
      <c r="M44" s="36"/>
      <c r="N44" s="37" t="s">
        <v>149</v>
      </c>
      <c r="O44" s="37"/>
      <c r="P44" s="37"/>
      <c r="Q44" s="37"/>
      <c r="R44" s="38"/>
      <c r="S44" s="36"/>
      <c r="T44" s="37" t="s">
        <v>149</v>
      </c>
      <c r="U44" s="37"/>
      <c r="V44" s="37"/>
      <c r="W44" s="37"/>
      <c r="X44" s="38"/>
      <c r="Y44" s="36"/>
      <c r="Z44" s="37" t="s">
        <v>149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市场预测!M20</f>
        <v>4</v>
      </c>
      <c r="E45" s="41"/>
      <c r="F45" s="41"/>
      <c r="G45" s="42"/>
      <c r="H45" s="12" t="s">
        <v>131</v>
      </c>
      <c r="I45" s="12"/>
      <c r="J45" s="43">
        <v>6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9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1.125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57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24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24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3</v>
      </c>
      <c r="D50" s="28"/>
      <c r="E50" s="29"/>
      <c r="F50" s="23"/>
      <c r="G50" s="19"/>
      <c r="H50" s="20" t="s">
        <v>123</v>
      </c>
      <c r="I50" s="27">
        <f ca="1">IF(D68&gt;=2,RANDBETWEEN(D69,J69),0)</f>
        <v>3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8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3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149</v>
      </c>
      <c r="C53" s="31"/>
      <c r="D53" s="31"/>
      <c r="E53" s="31"/>
      <c r="F53" s="32"/>
      <c r="G53" s="19"/>
      <c r="H53" s="31" t="s">
        <v>149</v>
      </c>
      <c r="I53" s="31"/>
      <c r="J53" s="31"/>
      <c r="K53" s="31"/>
      <c r="L53" s="32"/>
      <c r="M53" s="19"/>
      <c r="N53" s="31" t="s">
        <v>149</v>
      </c>
      <c r="O53" s="31"/>
      <c r="P53" s="31"/>
      <c r="Q53" s="31"/>
      <c r="R53" s="32"/>
      <c r="S53" s="19"/>
      <c r="T53" s="31" t="s">
        <v>149</v>
      </c>
      <c r="U53" s="31"/>
      <c r="V53" s="31"/>
      <c r="W53" s="31"/>
      <c r="X53" s="32"/>
      <c r="Y53" s="19"/>
      <c r="Z53" s="31" t="s">
        <v>149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149</v>
      </c>
      <c r="C60" s="31"/>
      <c r="D60" s="31"/>
      <c r="E60" s="31"/>
      <c r="F60" s="32"/>
      <c r="G60" s="19"/>
      <c r="H60" s="31" t="s">
        <v>149</v>
      </c>
      <c r="I60" s="31"/>
      <c r="J60" s="31"/>
      <c r="K60" s="31"/>
      <c r="L60" s="32"/>
      <c r="M60" s="19"/>
      <c r="N60" s="31" t="s">
        <v>149</v>
      </c>
      <c r="O60" s="31"/>
      <c r="P60" s="31"/>
      <c r="Q60" s="31"/>
      <c r="R60" s="32"/>
      <c r="S60" s="19"/>
      <c r="T60" s="31" t="s">
        <v>149</v>
      </c>
      <c r="U60" s="31"/>
      <c r="V60" s="31"/>
      <c r="W60" s="31"/>
      <c r="X60" s="32"/>
      <c r="Y60" s="19"/>
      <c r="Z60" s="31" t="s">
        <v>149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149</v>
      </c>
      <c r="C67" s="37"/>
      <c r="D67" s="37"/>
      <c r="E67" s="37"/>
      <c r="F67" s="38"/>
      <c r="G67" s="36"/>
      <c r="H67" s="37" t="s">
        <v>149</v>
      </c>
      <c r="I67" s="37"/>
      <c r="J67" s="37"/>
      <c r="K67" s="37"/>
      <c r="L67" s="38"/>
      <c r="M67" s="36"/>
      <c r="N67" s="37" t="s">
        <v>149</v>
      </c>
      <c r="O67" s="37"/>
      <c r="P67" s="37"/>
      <c r="Q67" s="37"/>
      <c r="R67" s="38"/>
      <c r="S67" s="36"/>
      <c r="T67" s="37" t="s">
        <v>149</v>
      </c>
      <c r="U67" s="37"/>
      <c r="V67" s="37"/>
      <c r="W67" s="37"/>
      <c r="X67" s="38"/>
      <c r="Y67" s="36"/>
      <c r="Z67" s="37" t="s">
        <v>149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市场预测!N20</f>
        <v>2</v>
      </c>
      <c r="E68" s="41"/>
      <c r="F68" s="41"/>
      <c r="G68" s="42"/>
      <c r="H68" s="12" t="s">
        <v>131</v>
      </c>
      <c r="I68" s="12"/>
      <c r="J68" s="43">
        <v>8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6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0.75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48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33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43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3</v>
      </c>
      <c r="D73" s="28"/>
      <c r="E73" s="29"/>
      <c r="F73" s="23"/>
      <c r="G73" s="19"/>
      <c r="H73" s="20" t="s">
        <v>123</v>
      </c>
      <c r="I73" s="27">
        <f ca="1">IF(D91&gt;=2,RANDBETWEEN(D92,J92),0)</f>
        <v>4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11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10.75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4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3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149</v>
      </c>
      <c r="C76" s="31"/>
      <c r="D76" s="31"/>
      <c r="E76" s="31"/>
      <c r="F76" s="32"/>
      <c r="G76" s="19"/>
      <c r="H76" s="31" t="s">
        <v>149</v>
      </c>
      <c r="I76" s="31"/>
      <c r="J76" s="31"/>
      <c r="K76" s="31"/>
      <c r="L76" s="32"/>
      <c r="M76" s="19"/>
      <c r="N76" s="31" t="s">
        <v>149</v>
      </c>
      <c r="O76" s="31"/>
      <c r="P76" s="31"/>
      <c r="Q76" s="31"/>
      <c r="R76" s="32"/>
      <c r="S76" s="19"/>
      <c r="T76" s="31" t="s">
        <v>149</v>
      </c>
      <c r="U76" s="31"/>
      <c r="V76" s="31"/>
      <c r="W76" s="31"/>
      <c r="X76" s="32"/>
      <c r="Y76" s="19"/>
      <c r="Z76" s="31" t="s">
        <v>149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149</v>
      </c>
      <c r="C83" s="31"/>
      <c r="D83" s="31"/>
      <c r="E83" s="31"/>
      <c r="F83" s="32"/>
      <c r="G83" s="19"/>
      <c r="H83" s="31" t="s">
        <v>149</v>
      </c>
      <c r="I83" s="31"/>
      <c r="J83" s="31"/>
      <c r="K83" s="31"/>
      <c r="L83" s="32"/>
      <c r="M83" s="19"/>
      <c r="N83" s="31" t="s">
        <v>149</v>
      </c>
      <c r="O83" s="31"/>
      <c r="P83" s="31"/>
      <c r="Q83" s="31"/>
      <c r="R83" s="32"/>
      <c r="S83" s="19"/>
      <c r="T83" s="31" t="s">
        <v>149</v>
      </c>
      <c r="U83" s="31"/>
      <c r="V83" s="31"/>
      <c r="W83" s="31"/>
      <c r="X83" s="32"/>
      <c r="Y83" s="19"/>
      <c r="Z83" s="31" t="s">
        <v>149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149</v>
      </c>
      <c r="C90" s="37"/>
      <c r="D90" s="37"/>
      <c r="E90" s="37"/>
      <c r="F90" s="38"/>
      <c r="G90" s="36"/>
      <c r="H90" s="37" t="s">
        <v>149</v>
      </c>
      <c r="I90" s="37"/>
      <c r="J90" s="37"/>
      <c r="K90" s="37"/>
      <c r="L90" s="38"/>
      <c r="M90" s="36"/>
      <c r="N90" s="37" t="s">
        <v>149</v>
      </c>
      <c r="O90" s="37"/>
      <c r="P90" s="37"/>
      <c r="Q90" s="37"/>
      <c r="R90" s="38"/>
      <c r="S90" s="36"/>
      <c r="T90" s="37" t="s">
        <v>149</v>
      </c>
      <c r="U90" s="37"/>
      <c r="V90" s="37"/>
      <c r="W90" s="37"/>
      <c r="X90" s="38"/>
      <c r="Y90" s="36"/>
      <c r="Z90" s="37" t="s">
        <v>149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市场预测!O20</f>
        <v>2</v>
      </c>
      <c r="E91" s="41"/>
      <c r="F91" s="41"/>
      <c r="G91" s="42"/>
      <c r="H91" s="12" t="s">
        <v>131</v>
      </c>
      <c r="I91" s="12"/>
      <c r="J91" s="43">
        <v>11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7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0.875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76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AX92"/>
  <sheetViews>
    <sheetView view="pageBreakPreview" zoomScale="55" zoomScaleNormal="85" topLeftCell="A68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21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21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12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'3年区域'!AN3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4</v>
      </c>
      <c r="D4" s="28"/>
      <c r="E4" s="29"/>
      <c r="F4" s="23"/>
      <c r="G4" s="19"/>
      <c r="H4" s="20" t="s">
        <v>123</v>
      </c>
      <c r="I4" s="27">
        <f ca="1">IF(D22&gt;=2,RANDBETWEEN(D23,J23),0)</f>
        <v>4</v>
      </c>
      <c r="J4" s="28"/>
      <c r="K4" s="29"/>
      <c r="L4" s="23"/>
      <c r="M4" s="19"/>
      <c r="N4" s="20" t="s">
        <v>123</v>
      </c>
      <c r="O4" s="27">
        <f ca="1">IF(D22&gt;=3,RANDBETWEEN(D23,J23),0)</f>
        <v>2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'3年区域'!AN4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5.25</v>
      </c>
      <c r="D5" s="22" t="s">
        <v>121</v>
      </c>
      <c r="E5" s="22"/>
      <c r="F5" s="23"/>
      <c r="G5" s="19"/>
      <c r="H5" s="20" t="s">
        <v>124</v>
      </c>
      <c r="I5" s="30">
        <f ca="1">I3/I4</f>
        <v>5.25</v>
      </c>
      <c r="J5" s="22" t="s">
        <v>121</v>
      </c>
      <c r="K5" s="22"/>
      <c r="L5" s="23"/>
      <c r="M5" s="19"/>
      <c r="N5" s="20" t="s">
        <v>124</v>
      </c>
      <c r="O5" s="30">
        <f ca="1">O3/O4</f>
        <v>6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'3年区域'!AN5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3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4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'3年区域'!AN6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150</v>
      </c>
      <c r="C7" s="31"/>
      <c r="D7" s="31"/>
      <c r="E7" s="31"/>
      <c r="F7" s="32"/>
      <c r="G7" s="19"/>
      <c r="H7" s="31" t="s">
        <v>150</v>
      </c>
      <c r="I7" s="31"/>
      <c r="J7" s="31"/>
      <c r="K7" s="31"/>
      <c r="L7" s="32"/>
      <c r="M7" s="19"/>
      <c r="N7" s="31" t="s">
        <v>150</v>
      </c>
      <c r="O7" s="31"/>
      <c r="P7" s="31"/>
      <c r="Q7" s="31"/>
      <c r="R7" s="32"/>
      <c r="S7" s="19"/>
      <c r="T7" s="31" t="s">
        <v>150</v>
      </c>
      <c r="U7" s="31"/>
      <c r="V7" s="31"/>
      <c r="W7" s="31"/>
      <c r="X7" s="32"/>
      <c r="Y7" s="19"/>
      <c r="Z7" s="31" t="s">
        <v>150</v>
      </c>
      <c r="AA7" s="31"/>
      <c r="AB7" s="31"/>
      <c r="AC7" s="31"/>
      <c r="AD7" s="32"/>
      <c r="AE7" s="33"/>
      <c r="AF7" s="15"/>
      <c r="AG7" s="8" t="s">
        <v>55</v>
      </c>
      <c r="AH7" s="24">
        <f>'3年区域'!AN7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'3年区域'!AN8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'3年区域'!AN9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'3年区域'!AN10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'3年区域'!AN11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'3年区域'!AN12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'3年区域'!AN13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150</v>
      </c>
      <c r="C14" s="31"/>
      <c r="D14" s="31"/>
      <c r="E14" s="31"/>
      <c r="F14" s="32"/>
      <c r="G14" s="19"/>
      <c r="H14" s="31" t="s">
        <v>150</v>
      </c>
      <c r="I14" s="31"/>
      <c r="J14" s="31"/>
      <c r="K14" s="31"/>
      <c r="L14" s="32"/>
      <c r="M14" s="19"/>
      <c r="N14" s="31" t="s">
        <v>150</v>
      </c>
      <c r="O14" s="31"/>
      <c r="P14" s="31"/>
      <c r="Q14" s="31"/>
      <c r="R14" s="32"/>
      <c r="S14" s="19"/>
      <c r="T14" s="31" t="s">
        <v>150</v>
      </c>
      <c r="U14" s="31"/>
      <c r="V14" s="31"/>
      <c r="W14" s="31"/>
      <c r="X14" s="32"/>
      <c r="Y14" s="19"/>
      <c r="Z14" s="31" t="s">
        <v>150</v>
      </c>
      <c r="AA14" s="31"/>
      <c r="AB14" s="31"/>
      <c r="AC14" s="31"/>
      <c r="AD14" s="32"/>
      <c r="AE14" s="33"/>
      <c r="AF14" s="15"/>
      <c r="AG14" s="8" t="s">
        <v>62</v>
      </c>
      <c r="AH14" s="24">
        <f>'3年区域'!AN14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'3年区域'!AN15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'3年区域'!AN16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'3年区域'!AN17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150</v>
      </c>
      <c r="C21" s="37"/>
      <c r="D21" s="37"/>
      <c r="E21" s="37"/>
      <c r="F21" s="38"/>
      <c r="G21" s="36"/>
      <c r="H21" s="37" t="s">
        <v>150</v>
      </c>
      <c r="I21" s="37"/>
      <c r="J21" s="37"/>
      <c r="K21" s="37"/>
      <c r="L21" s="38"/>
      <c r="M21" s="36"/>
      <c r="N21" s="37" t="s">
        <v>150</v>
      </c>
      <c r="O21" s="37"/>
      <c r="P21" s="37"/>
      <c r="Q21" s="37"/>
      <c r="R21" s="38"/>
      <c r="S21" s="36"/>
      <c r="T21" s="37" t="s">
        <v>150</v>
      </c>
      <c r="U21" s="37"/>
      <c r="V21" s="37"/>
      <c r="W21" s="37"/>
      <c r="X21" s="38"/>
      <c r="Y21" s="36"/>
      <c r="Z21" s="37" t="s">
        <v>150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市场预测!L30</f>
        <v>3</v>
      </c>
      <c r="E22" s="41"/>
      <c r="F22" s="41"/>
      <c r="G22" s="42"/>
      <c r="H22" s="12" t="s">
        <v>131</v>
      </c>
      <c r="I22" s="12"/>
      <c r="J22" s="43">
        <v>5.5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10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1.25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54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19.5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19.5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14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3</v>
      </c>
      <c r="J27" s="28"/>
      <c r="K27" s="29"/>
      <c r="L27" s="23"/>
      <c r="M27" s="19"/>
      <c r="N27" s="20" t="s">
        <v>123</v>
      </c>
      <c r="O27" s="27">
        <f ca="1">IF(D45&gt;=3,RANDBETWEEN(D46,J46),0)</f>
        <v>2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6.5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6.5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7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3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2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2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150</v>
      </c>
      <c r="C30" s="31"/>
      <c r="D30" s="31"/>
      <c r="E30" s="31"/>
      <c r="F30" s="32"/>
      <c r="G30" s="19"/>
      <c r="H30" s="31" t="s">
        <v>150</v>
      </c>
      <c r="I30" s="31"/>
      <c r="J30" s="31"/>
      <c r="K30" s="31"/>
      <c r="L30" s="32"/>
      <c r="M30" s="19"/>
      <c r="N30" s="31" t="s">
        <v>150</v>
      </c>
      <c r="O30" s="31"/>
      <c r="P30" s="31"/>
      <c r="Q30" s="31"/>
      <c r="R30" s="32"/>
      <c r="S30" s="19"/>
      <c r="T30" s="31" t="s">
        <v>150</v>
      </c>
      <c r="U30" s="31"/>
      <c r="V30" s="31"/>
      <c r="W30" s="31"/>
      <c r="X30" s="32"/>
      <c r="Y30" s="19"/>
      <c r="Z30" s="31" t="s">
        <v>150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150</v>
      </c>
      <c r="C37" s="31"/>
      <c r="D37" s="31"/>
      <c r="E37" s="31"/>
      <c r="F37" s="32"/>
      <c r="G37" s="19"/>
      <c r="H37" s="31" t="s">
        <v>150</v>
      </c>
      <c r="I37" s="31"/>
      <c r="J37" s="31"/>
      <c r="K37" s="31"/>
      <c r="L37" s="32"/>
      <c r="M37" s="19"/>
      <c r="N37" s="31" t="s">
        <v>150</v>
      </c>
      <c r="O37" s="31"/>
      <c r="P37" s="31"/>
      <c r="Q37" s="31"/>
      <c r="R37" s="32"/>
      <c r="S37" s="19"/>
      <c r="T37" s="31" t="s">
        <v>150</v>
      </c>
      <c r="U37" s="31"/>
      <c r="V37" s="31"/>
      <c r="W37" s="31"/>
      <c r="X37" s="32"/>
      <c r="Y37" s="19"/>
      <c r="Z37" s="31" t="s">
        <v>150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150</v>
      </c>
      <c r="C44" s="37"/>
      <c r="D44" s="37"/>
      <c r="E44" s="37"/>
      <c r="F44" s="38"/>
      <c r="G44" s="36"/>
      <c r="H44" s="37" t="s">
        <v>150</v>
      </c>
      <c r="I44" s="37"/>
      <c r="J44" s="37"/>
      <c r="K44" s="37"/>
      <c r="L44" s="38"/>
      <c r="M44" s="36"/>
      <c r="N44" s="37" t="s">
        <v>150</v>
      </c>
      <c r="O44" s="37"/>
      <c r="P44" s="37"/>
      <c r="Q44" s="37"/>
      <c r="R44" s="38"/>
      <c r="S44" s="36"/>
      <c r="T44" s="37" t="s">
        <v>150</v>
      </c>
      <c r="U44" s="37"/>
      <c r="V44" s="37"/>
      <c r="W44" s="37"/>
      <c r="X44" s="38"/>
      <c r="Y44" s="36"/>
      <c r="Z44" s="37" t="s">
        <v>150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市场预测!M30</f>
        <v>3</v>
      </c>
      <c r="E45" s="41"/>
      <c r="F45" s="41"/>
      <c r="G45" s="42"/>
      <c r="H45" s="12" t="s">
        <v>131</v>
      </c>
      <c r="I45" s="12"/>
      <c r="J45" s="43">
        <v>6.5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8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53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33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33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4</v>
      </c>
      <c r="D50" s="28"/>
      <c r="E50" s="29"/>
      <c r="F50" s="23"/>
      <c r="G50" s="19"/>
      <c r="H50" s="20" t="s">
        <v>123</v>
      </c>
      <c r="I50" s="27">
        <f ca="1">IF(D68&gt;=2,RANDBETWEEN(D69,J69),0)</f>
        <v>4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8.25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8.25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2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3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150</v>
      </c>
      <c r="C53" s="31"/>
      <c r="D53" s="31"/>
      <c r="E53" s="31"/>
      <c r="F53" s="32"/>
      <c r="G53" s="19"/>
      <c r="H53" s="31" t="s">
        <v>150</v>
      </c>
      <c r="I53" s="31"/>
      <c r="J53" s="31"/>
      <c r="K53" s="31"/>
      <c r="L53" s="32"/>
      <c r="M53" s="19"/>
      <c r="N53" s="31" t="s">
        <v>150</v>
      </c>
      <c r="O53" s="31"/>
      <c r="P53" s="31"/>
      <c r="Q53" s="31"/>
      <c r="R53" s="32"/>
      <c r="S53" s="19"/>
      <c r="T53" s="31" t="s">
        <v>150</v>
      </c>
      <c r="U53" s="31"/>
      <c r="V53" s="31"/>
      <c r="W53" s="31"/>
      <c r="X53" s="32"/>
      <c r="Y53" s="19"/>
      <c r="Z53" s="31" t="s">
        <v>150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150</v>
      </c>
      <c r="C60" s="31"/>
      <c r="D60" s="31"/>
      <c r="E60" s="31"/>
      <c r="F60" s="32"/>
      <c r="G60" s="19"/>
      <c r="H60" s="31" t="s">
        <v>150</v>
      </c>
      <c r="I60" s="31"/>
      <c r="J60" s="31"/>
      <c r="K60" s="31"/>
      <c r="L60" s="32"/>
      <c r="M60" s="19"/>
      <c r="N60" s="31" t="s">
        <v>150</v>
      </c>
      <c r="O60" s="31"/>
      <c r="P60" s="31"/>
      <c r="Q60" s="31"/>
      <c r="R60" s="32"/>
      <c r="S60" s="19"/>
      <c r="T60" s="31" t="s">
        <v>150</v>
      </c>
      <c r="U60" s="31"/>
      <c r="V60" s="31"/>
      <c r="W60" s="31"/>
      <c r="X60" s="32"/>
      <c r="Y60" s="19"/>
      <c r="Z60" s="31" t="s">
        <v>150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150</v>
      </c>
      <c r="C67" s="37"/>
      <c r="D67" s="37"/>
      <c r="E67" s="37"/>
      <c r="F67" s="38"/>
      <c r="G67" s="36"/>
      <c r="H67" s="37" t="s">
        <v>150</v>
      </c>
      <c r="I67" s="37"/>
      <c r="J67" s="37"/>
      <c r="K67" s="37"/>
      <c r="L67" s="38"/>
      <c r="M67" s="36"/>
      <c r="N67" s="37" t="s">
        <v>150</v>
      </c>
      <c r="O67" s="37"/>
      <c r="P67" s="37"/>
      <c r="Q67" s="37"/>
      <c r="R67" s="38"/>
      <c r="S67" s="36"/>
      <c r="T67" s="37" t="s">
        <v>150</v>
      </c>
      <c r="U67" s="37"/>
      <c r="V67" s="37"/>
      <c r="W67" s="37"/>
      <c r="X67" s="38"/>
      <c r="Y67" s="36"/>
      <c r="Z67" s="37" t="s">
        <v>150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市场预测!N30</f>
        <v>2</v>
      </c>
      <c r="E68" s="41"/>
      <c r="F68" s="41"/>
      <c r="G68" s="42"/>
      <c r="H68" s="12" t="s">
        <v>131</v>
      </c>
      <c r="I68" s="12"/>
      <c r="J68" s="43">
        <v>8.5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8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66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45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24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4</v>
      </c>
      <c r="D73" s="28"/>
      <c r="E73" s="29"/>
      <c r="F73" s="23"/>
      <c r="G73" s="19"/>
      <c r="H73" s="20" t="s">
        <v>123</v>
      </c>
      <c r="I73" s="27">
        <f ca="1">IF(D91&gt;=2,RANDBETWEEN(D92,J92),0)</f>
        <v>2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11.25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12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2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2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150</v>
      </c>
      <c r="C76" s="31"/>
      <c r="D76" s="31"/>
      <c r="E76" s="31"/>
      <c r="F76" s="32"/>
      <c r="G76" s="19"/>
      <c r="H76" s="31" t="s">
        <v>150</v>
      </c>
      <c r="I76" s="31"/>
      <c r="J76" s="31"/>
      <c r="K76" s="31"/>
      <c r="L76" s="32"/>
      <c r="M76" s="19"/>
      <c r="N76" s="31" t="s">
        <v>150</v>
      </c>
      <c r="O76" s="31"/>
      <c r="P76" s="31"/>
      <c r="Q76" s="31"/>
      <c r="R76" s="32"/>
      <c r="S76" s="19"/>
      <c r="T76" s="31" t="s">
        <v>150</v>
      </c>
      <c r="U76" s="31"/>
      <c r="V76" s="31"/>
      <c r="W76" s="31"/>
      <c r="X76" s="32"/>
      <c r="Y76" s="19"/>
      <c r="Z76" s="31" t="s">
        <v>150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150</v>
      </c>
      <c r="C83" s="31"/>
      <c r="D83" s="31"/>
      <c r="E83" s="31"/>
      <c r="F83" s="32"/>
      <c r="G83" s="19"/>
      <c r="H83" s="31" t="s">
        <v>150</v>
      </c>
      <c r="I83" s="31"/>
      <c r="J83" s="31"/>
      <c r="K83" s="31"/>
      <c r="L83" s="32"/>
      <c r="M83" s="19"/>
      <c r="N83" s="31" t="s">
        <v>150</v>
      </c>
      <c r="O83" s="31"/>
      <c r="P83" s="31"/>
      <c r="Q83" s="31"/>
      <c r="R83" s="32"/>
      <c r="S83" s="19"/>
      <c r="T83" s="31" t="s">
        <v>150</v>
      </c>
      <c r="U83" s="31"/>
      <c r="V83" s="31"/>
      <c r="W83" s="31"/>
      <c r="X83" s="32"/>
      <c r="Y83" s="19"/>
      <c r="Z83" s="31" t="s">
        <v>150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150</v>
      </c>
      <c r="C90" s="37"/>
      <c r="D90" s="37"/>
      <c r="E90" s="37"/>
      <c r="F90" s="38"/>
      <c r="G90" s="36"/>
      <c r="H90" s="37" t="s">
        <v>150</v>
      </c>
      <c r="I90" s="37"/>
      <c r="J90" s="37"/>
      <c r="K90" s="37"/>
      <c r="L90" s="38"/>
      <c r="M90" s="36"/>
      <c r="N90" s="37" t="s">
        <v>150</v>
      </c>
      <c r="O90" s="37"/>
      <c r="P90" s="37"/>
      <c r="Q90" s="37"/>
      <c r="R90" s="38"/>
      <c r="S90" s="36"/>
      <c r="T90" s="37" t="s">
        <v>150</v>
      </c>
      <c r="U90" s="37"/>
      <c r="V90" s="37"/>
      <c r="W90" s="37"/>
      <c r="X90" s="38"/>
      <c r="Y90" s="36"/>
      <c r="Z90" s="37" t="s">
        <v>150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市场预测!O30</f>
        <v>2</v>
      </c>
      <c r="E91" s="41"/>
      <c r="F91" s="41"/>
      <c r="G91" s="42"/>
      <c r="H91" s="12" t="s">
        <v>131</v>
      </c>
      <c r="I91" s="12"/>
      <c r="J91" s="43">
        <v>11.5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6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0.75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69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X92"/>
  <sheetViews>
    <sheetView view="pageBreakPreview" zoomScale="55" zoomScaleNormal="85" topLeftCell="A73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23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13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'3年全国'!AN3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4</v>
      </c>
      <c r="D4" s="28"/>
      <c r="E4" s="29"/>
      <c r="F4" s="23"/>
      <c r="G4" s="19"/>
      <c r="H4" s="20" t="s">
        <v>123</v>
      </c>
      <c r="I4" s="27">
        <f ca="1">IF(D22&gt;=2,RANDBETWEEN(D23,J23),0)</f>
        <v>2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'3年全国'!AN4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5.75</v>
      </c>
      <c r="D5" s="22" t="s">
        <v>121</v>
      </c>
      <c r="E5" s="22"/>
      <c r="F5" s="23"/>
      <c r="G5" s="19"/>
      <c r="H5" s="20" t="s">
        <v>124</v>
      </c>
      <c r="I5" s="30">
        <f ca="1">I3/I4</f>
        <v>6.5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'3年全国'!AN5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3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'3年全国'!AN6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151</v>
      </c>
      <c r="C7" s="31"/>
      <c r="D7" s="31"/>
      <c r="E7" s="31"/>
      <c r="F7" s="32"/>
      <c r="G7" s="19"/>
      <c r="H7" s="31" t="s">
        <v>151</v>
      </c>
      <c r="I7" s="31"/>
      <c r="J7" s="31"/>
      <c r="K7" s="31"/>
      <c r="L7" s="32"/>
      <c r="M7" s="19"/>
      <c r="N7" s="31" t="s">
        <v>151</v>
      </c>
      <c r="O7" s="31"/>
      <c r="P7" s="31"/>
      <c r="Q7" s="31"/>
      <c r="R7" s="32"/>
      <c r="S7" s="19"/>
      <c r="T7" s="31" t="s">
        <v>151</v>
      </c>
      <c r="U7" s="31"/>
      <c r="V7" s="31"/>
      <c r="W7" s="31"/>
      <c r="X7" s="32"/>
      <c r="Y7" s="19"/>
      <c r="Z7" s="31" t="s">
        <v>151</v>
      </c>
      <c r="AA7" s="31"/>
      <c r="AB7" s="31"/>
      <c r="AC7" s="31"/>
      <c r="AD7" s="32"/>
      <c r="AE7" s="33"/>
      <c r="AF7" s="15"/>
      <c r="AG7" s="8" t="s">
        <v>55</v>
      </c>
      <c r="AH7" s="24">
        <f>'3年全国'!AN7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'3年全国'!AN8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'3年全国'!AN9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'3年全国'!AN10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'3年全国'!AN11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'3年全国'!AN12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'3年全国'!AN13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151</v>
      </c>
      <c r="C14" s="31"/>
      <c r="D14" s="31"/>
      <c r="E14" s="31"/>
      <c r="F14" s="32"/>
      <c r="G14" s="19"/>
      <c r="H14" s="31" t="s">
        <v>151</v>
      </c>
      <c r="I14" s="31"/>
      <c r="J14" s="31"/>
      <c r="K14" s="31"/>
      <c r="L14" s="32"/>
      <c r="M14" s="19"/>
      <c r="N14" s="31" t="s">
        <v>151</v>
      </c>
      <c r="O14" s="31"/>
      <c r="P14" s="31"/>
      <c r="Q14" s="31"/>
      <c r="R14" s="32"/>
      <c r="S14" s="19"/>
      <c r="T14" s="31" t="s">
        <v>151</v>
      </c>
      <c r="U14" s="31"/>
      <c r="V14" s="31"/>
      <c r="W14" s="31"/>
      <c r="X14" s="32"/>
      <c r="Y14" s="19"/>
      <c r="Z14" s="31" t="s">
        <v>151</v>
      </c>
      <c r="AA14" s="31"/>
      <c r="AB14" s="31"/>
      <c r="AC14" s="31"/>
      <c r="AD14" s="32"/>
      <c r="AE14" s="33"/>
      <c r="AF14" s="15"/>
      <c r="AG14" s="8" t="s">
        <v>62</v>
      </c>
      <c r="AH14" s="24">
        <f>'3年全国'!AN14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'3年全国'!AN15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'3年全国'!AN16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'3年全国'!AN17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151</v>
      </c>
      <c r="C21" s="37"/>
      <c r="D21" s="37"/>
      <c r="E21" s="37"/>
      <c r="F21" s="38"/>
      <c r="G21" s="36"/>
      <c r="H21" s="37" t="s">
        <v>151</v>
      </c>
      <c r="I21" s="37"/>
      <c r="J21" s="37"/>
      <c r="K21" s="37"/>
      <c r="L21" s="38"/>
      <c r="M21" s="36"/>
      <c r="N21" s="37" t="s">
        <v>151</v>
      </c>
      <c r="O21" s="37"/>
      <c r="P21" s="37"/>
      <c r="Q21" s="37"/>
      <c r="R21" s="38"/>
      <c r="S21" s="36"/>
      <c r="T21" s="37" t="s">
        <v>151</v>
      </c>
      <c r="U21" s="37"/>
      <c r="V21" s="37"/>
      <c r="W21" s="37"/>
      <c r="X21" s="38"/>
      <c r="Y21" s="36"/>
      <c r="Z21" s="37" t="s">
        <v>151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市场预测!L40</f>
        <v>2</v>
      </c>
      <c r="E22" s="41"/>
      <c r="F22" s="41"/>
      <c r="G22" s="42"/>
      <c r="H22" s="12" t="s">
        <v>131</v>
      </c>
      <c r="I22" s="12"/>
      <c r="J22" s="43">
        <v>6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6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36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27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15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27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21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4</v>
      </c>
      <c r="D27" s="28"/>
      <c r="E27" s="29"/>
      <c r="F27" s="23"/>
      <c r="G27" s="19"/>
      <c r="H27" s="20" t="s">
        <v>123</v>
      </c>
      <c r="I27" s="27">
        <f ca="1">IF(D45&gt;=2,RANDBETWEEN(D46,J46),0)</f>
        <v>2</v>
      </c>
      <c r="J27" s="28"/>
      <c r="K27" s="29"/>
      <c r="L27" s="23"/>
      <c r="M27" s="19"/>
      <c r="N27" s="20" t="s">
        <v>123</v>
      </c>
      <c r="O27" s="27">
        <f ca="1">IF(D45&gt;=3,RANDBETWEEN(D46,J46),0)</f>
        <v>4</v>
      </c>
      <c r="P27" s="28"/>
      <c r="Q27" s="29"/>
      <c r="R27" s="23"/>
      <c r="S27" s="19"/>
      <c r="T27" s="20" t="s">
        <v>123</v>
      </c>
      <c r="U27" s="27">
        <f ca="1">IF(D45&gt;=4,RANDBETWEEN(D46,J46),0)</f>
        <v>3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6.75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7.5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6.75</v>
      </c>
      <c r="P28" s="22" t="s">
        <v>121</v>
      </c>
      <c r="Q28" s="22"/>
      <c r="R28" s="23"/>
      <c r="S28" s="19"/>
      <c r="T28" s="20" t="s">
        <v>124</v>
      </c>
      <c r="U28" s="30">
        <f ca="1">U26/U27</f>
        <v>7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2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4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4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2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151</v>
      </c>
      <c r="C30" s="31"/>
      <c r="D30" s="31"/>
      <c r="E30" s="31"/>
      <c r="F30" s="32"/>
      <c r="G30" s="19"/>
      <c r="H30" s="31" t="s">
        <v>151</v>
      </c>
      <c r="I30" s="31"/>
      <c r="J30" s="31"/>
      <c r="K30" s="31"/>
      <c r="L30" s="32"/>
      <c r="M30" s="19"/>
      <c r="N30" s="31" t="s">
        <v>151</v>
      </c>
      <c r="O30" s="31"/>
      <c r="P30" s="31"/>
      <c r="Q30" s="31"/>
      <c r="R30" s="32"/>
      <c r="S30" s="19"/>
      <c r="T30" s="31" t="s">
        <v>151</v>
      </c>
      <c r="U30" s="31"/>
      <c r="V30" s="31"/>
      <c r="W30" s="31"/>
      <c r="X30" s="32"/>
      <c r="Y30" s="19"/>
      <c r="Z30" s="31" t="s">
        <v>151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151</v>
      </c>
      <c r="C37" s="31"/>
      <c r="D37" s="31"/>
      <c r="E37" s="31"/>
      <c r="F37" s="32"/>
      <c r="G37" s="19"/>
      <c r="H37" s="31" t="s">
        <v>151</v>
      </c>
      <c r="I37" s="31"/>
      <c r="J37" s="31"/>
      <c r="K37" s="31"/>
      <c r="L37" s="32"/>
      <c r="M37" s="19"/>
      <c r="N37" s="31" t="s">
        <v>151</v>
      </c>
      <c r="O37" s="31"/>
      <c r="P37" s="31"/>
      <c r="Q37" s="31"/>
      <c r="R37" s="32"/>
      <c r="S37" s="19"/>
      <c r="T37" s="31" t="s">
        <v>151</v>
      </c>
      <c r="U37" s="31"/>
      <c r="V37" s="31"/>
      <c r="W37" s="31"/>
      <c r="X37" s="32"/>
      <c r="Y37" s="19"/>
      <c r="Z37" s="31" t="s">
        <v>151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151</v>
      </c>
      <c r="C44" s="37"/>
      <c r="D44" s="37"/>
      <c r="E44" s="37"/>
      <c r="F44" s="38"/>
      <c r="G44" s="36"/>
      <c r="H44" s="37" t="s">
        <v>151</v>
      </c>
      <c r="I44" s="37"/>
      <c r="J44" s="37"/>
      <c r="K44" s="37"/>
      <c r="L44" s="38"/>
      <c r="M44" s="36"/>
      <c r="N44" s="37" t="s">
        <v>151</v>
      </c>
      <c r="O44" s="37"/>
      <c r="P44" s="37"/>
      <c r="Q44" s="37"/>
      <c r="R44" s="38"/>
      <c r="S44" s="36"/>
      <c r="T44" s="37" t="s">
        <v>151</v>
      </c>
      <c r="U44" s="37"/>
      <c r="V44" s="37"/>
      <c r="W44" s="37"/>
      <c r="X44" s="38"/>
      <c r="Y44" s="36"/>
      <c r="Z44" s="37" t="s">
        <v>151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市场预测!M40</f>
        <v>4</v>
      </c>
      <c r="E45" s="41"/>
      <c r="F45" s="41"/>
      <c r="G45" s="42"/>
      <c r="H45" s="12" t="s">
        <v>131</v>
      </c>
      <c r="I45" s="12"/>
      <c r="J45" s="43">
        <v>7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13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1.625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90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27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27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3</v>
      </c>
      <c r="D50" s="28"/>
      <c r="E50" s="29"/>
      <c r="F50" s="23"/>
      <c r="G50" s="19"/>
      <c r="H50" s="20" t="s">
        <v>123</v>
      </c>
      <c r="I50" s="27">
        <f ca="1">IF(D68&gt;=2,RANDBETWEEN(D69,J69),0)</f>
        <v>3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9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9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2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151</v>
      </c>
      <c r="C53" s="31"/>
      <c r="D53" s="31"/>
      <c r="E53" s="31"/>
      <c r="F53" s="32"/>
      <c r="G53" s="19"/>
      <c r="H53" s="31" t="s">
        <v>151</v>
      </c>
      <c r="I53" s="31"/>
      <c r="J53" s="31"/>
      <c r="K53" s="31"/>
      <c r="L53" s="32"/>
      <c r="M53" s="19"/>
      <c r="N53" s="31" t="s">
        <v>151</v>
      </c>
      <c r="O53" s="31"/>
      <c r="P53" s="31"/>
      <c r="Q53" s="31"/>
      <c r="R53" s="32"/>
      <c r="S53" s="19"/>
      <c r="T53" s="31" t="s">
        <v>151</v>
      </c>
      <c r="U53" s="31"/>
      <c r="V53" s="31"/>
      <c r="W53" s="31"/>
      <c r="X53" s="32"/>
      <c r="Y53" s="19"/>
      <c r="Z53" s="31" t="s">
        <v>151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151</v>
      </c>
      <c r="C60" s="31"/>
      <c r="D60" s="31"/>
      <c r="E60" s="31"/>
      <c r="F60" s="32"/>
      <c r="G60" s="19"/>
      <c r="H60" s="31" t="s">
        <v>151</v>
      </c>
      <c r="I60" s="31"/>
      <c r="J60" s="31"/>
      <c r="K60" s="31"/>
      <c r="L60" s="32"/>
      <c r="M60" s="19"/>
      <c r="N60" s="31" t="s">
        <v>151</v>
      </c>
      <c r="O60" s="31"/>
      <c r="P60" s="31"/>
      <c r="Q60" s="31"/>
      <c r="R60" s="32"/>
      <c r="S60" s="19"/>
      <c r="T60" s="31" t="s">
        <v>151</v>
      </c>
      <c r="U60" s="31"/>
      <c r="V60" s="31"/>
      <c r="W60" s="31"/>
      <c r="X60" s="32"/>
      <c r="Y60" s="19"/>
      <c r="Z60" s="31" t="s">
        <v>151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151</v>
      </c>
      <c r="C67" s="37"/>
      <c r="D67" s="37"/>
      <c r="E67" s="37"/>
      <c r="F67" s="38"/>
      <c r="G67" s="36"/>
      <c r="H67" s="37" t="s">
        <v>151</v>
      </c>
      <c r="I67" s="37"/>
      <c r="J67" s="37"/>
      <c r="K67" s="37"/>
      <c r="L67" s="38"/>
      <c r="M67" s="36"/>
      <c r="N67" s="37" t="s">
        <v>151</v>
      </c>
      <c r="O67" s="37"/>
      <c r="P67" s="37"/>
      <c r="Q67" s="37"/>
      <c r="R67" s="38"/>
      <c r="S67" s="36"/>
      <c r="T67" s="37" t="s">
        <v>151</v>
      </c>
      <c r="U67" s="37"/>
      <c r="V67" s="37"/>
      <c r="W67" s="37"/>
      <c r="X67" s="38"/>
      <c r="Y67" s="36"/>
      <c r="Z67" s="37" t="s">
        <v>151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市场预测!N40</f>
        <v>2</v>
      </c>
      <c r="E68" s="41"/>
      <c r="F68" s="41"/>
      <c r="G68" s="42"/>
      <c r="H68" s="12" t="s">
        <v>131</v>
      </c>
      <c r="I68" s="12"/>
      <c r="J68" s="43">
        <v>9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6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0.75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54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47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25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4</v>
      </c>
      <c r="D73" s="28"/>
      <c r="E73" s="29"/>
      <c r="F73" s="23"/>
      <c r="G73" s="19"/>
      <c r="H73" s="20" t="s">
        <v>123</v>
      </c>
      <c r="I73" s="27">
        <f ca="1">IF(D91&gt;=2,RANDBETWEEN(D92,J92),0)</f>
        <v>2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11.75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12.5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3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3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151</v>
      </c>
      <c r="C76" s="31"/>
      <c r="D76" s="31"/>
      <c r="E76" s="31"/>
      <c r="F76" s="32"/>
      <c r="G76" s="19"/>
      <c r="H76" s="31" t="s">
        <v>151</v>
      </c>
      <c r="I76" s="31"/>
      <c r="J76" s="31"/>
      <c r="K76" s="31"/>
      <c r="L76" s="32"/>
      <c r="M76" s="19"/>
      <c r="N76" s="31" t="s">
        <v>151</v>
      </c>
      <c r="O76" s="31"/>
      <c r="P76" s="31"/>
      <c r="Q76" s="31"/>
      <c r="R76" s="32"/>
      <c r="S76" s="19"/>
      <c r="T76" s="31" t="s">
        <v>151</v>
      </c>
      <c r="U76" s="31"/>
      <c r="V76" s="31"/>
      <c r="W76" s="31"/>
      <c r="X76" s="32"/>
      <c r="Y76" s="19"/>
      <c r="Z76" s="31" t="s">
        <v>151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151</v>
      </c>
      <c r="C83" s="31"/>
      <c r="D83" s="31"/>
      <c r="E83" s="31"/>
      <c r="F83" s="32"/>
      <c r="G83" s="19"/>
      <c r="H83" s="31" t="s">
        <v>151</v>
      </c>
      <c r="I83" s="31"/>
      <c r="J83" s="31"/>
      <c r="K83" s="31"/>
      <c r="L83" s="32"/>
      <c r="M83" s="19"/>
      <c r="N83" s="31" t="s">
        <v>151</v>
      </c>
      <c r="O83" s="31"/>
      <c r="P83" s="31"/>
      <c r="Q83" s="31"/>
      <c r="R83" s="32"/>
      <c r="S83" s="19"/>
      <c r="T83" s="31" t="s">
        <v>151</v>
      </c>
      <c r="U83" s="31"/>
      <c r="V83" s="31"/>
      <c r="W83" s="31"/>
      <c r="X83" s="32"/>
      <c r="Y83" s="19"/>
      <c r="Z83" s="31" t="s">
        <v>151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151</v>
      </c>
      <c r="C90" s="37"/>
      <c r="D90" s="37"/>
      <c r="E90" s="37"/>
      <c r="F90" s="38"/>
      <c r="G90" s="36"/>
      <c r="H90" s="37" t="s">
        <v>151</v>
      </c>
      <c r="I90" s="37"/>
      <c r="J90" s="37"/>
      <c r="K90" s="37"/>
      <c r="L90" s="38"/>
      <c r="M90" s="36"/>
      <c r="N90" s="37" t="s">
        <v>151</v>
      </c>
      <c r="O90" s="37"/>
      <c r="P90" s="37"/>
      <c r="Q90" s="37"/>
      <c r="R90" s="38"/>
      <c r="S90" s="36"/>
      <c r="T90" s="37" t="s">
        <v>151</v>
      </c>
      <c r="U90" s="37"/>
      <c r="V90" s="37"/>
      <c r="W90" s="37"/>
      <c r="X90" s="38"/>
      <c r="Y90" s="36"/>
      <c r="Z90" s="37" t="s">
        <v>151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市场预测!O40</f>
        <v>2</v>
      </c>
      <c r="E91" s="41"/>
      <c r="F91" s="41"/>
      <c r="G91" s="42"/>
      <c r="H91" s="12" t="s">
        <v>131</v>
      </c>
      <c r="I91" s="12"/>
      <c r="J91" s="43">
        <v>12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6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0.75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72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AX92"/>
  <sheetViews>
    <sheetView view="pageBreakPreview" zoomScale="55" zoomScaleNormal="85" topLeftCell="A63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15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15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27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'3年全球'!AN3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2</v>
      </c>
      <c r="D4" s="28"/>
      <c r="E4" s="29"/>
      <c r="F4" s="23"/>
      <c r="G4" s="19"/>
      <c r="H4" s="20" t="s">
        <v>123</v>
      </c>
      <c r="I4" s="27">
        <f ca="1">IF(D22&gt;=2,RANDBETWEEN(D23,J23),0)</f>
        <v>2</v>
      </c>
      <c r="J4" s="28"/>
      <c r="K4" s="29"/>
      <c r="L4" s="23"/>
      <c r="M4" s="19"/>
      <c r="N4" s="20" t="s">
        <v>123</v>
      </c>
      <c r="O4" s="27">
        <f ca="1">IF(D22&gt;=3,RANDBETWEEN(D23,J23),0)</f>
        <v>4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'3年全球'!AN4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7.5</v>
      </c>
      <c r="D5" s="22" t="s">
        <v>121</v>
      </c>
      <c r="E5" s="22"/>
      <c r="F5" s="23"/>
      <c r="G5" s="19"/>
      <c r="H5" s="20" t="s">
        <v>124</v>
      </c>
      <c r="I5" s="30">
        <f ca="1">I3/I4</f>
        <v>7.5</v>
      </c>
      <c r="J5" s="22" t="s">
        <v>121</v>
      </c>
      <c r="K5" s="22"/>
      <c r="L5" s="23"/>
      <c r="M5" s="19"/>
      <c r="N5" s="20" t="s">
        <v>124</v>
      </c>
      <c r="O5" s="30">
        <f ca="1">O3/O4</f>
        <v>6.75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'3年全球'!AN5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2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3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'3年全球'!AN6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152</v>
      </c>
      <c r="C7" s="31"/>
      <c r="D7" s="31"/>
      <c r="E7" s="31"/>
      <c r="F7" s="32"/>
      <c r="G7" s="19"/>
      <c r="H7" s="31" t="s">
        <v>152</v>
      </c>
      <c r="I7" s="31"/>
      <c r="J7" s="31"/>
      <c r="K7" s="31"/>
      <c r="L7" s="32"/>
      <c r="M7" s="19"/>
      <c r="N7" s="31" t="s">
        <v>152</v>
      </c>
      <c r="O7" s="31"/>
      <c r="P7" s="31"/>
      <c r="Q7" s="31"/>
      <c r="R7" s="32"/>
      <c r="S7" s="19"/>
      <c r="T7" s="31" t="s">
        <v>152</v>
      </c>
      <c r="U7" s="31"/>
      <c r="V7" s="31"/>
      <c r="W7" s="31"/>
      <c r="X7" s="32"/>
      <c r="Y7" s="19"/>
      <c r="Z7" s="31" t="s">
        <v>152</v>
      </c>
      <c r="AA7" s="31"/>
      <c r="AB7" s="31"/>
      <c r="AC7" s="31"/>
      <c r="AD7" s="32"/>
      <c r="AE7" s="33"/>
      <c r="AF7" s="15"/>
      <c r="AG7" s="8" t="s">
        <v>55</v>
      </c>
      <c r="AH7" s="24">
        <f>'3年全球'!AN7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'3年全球'!AN8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'3年全球'!AN9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'3年全球'!AN10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'3年全球'!AN11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'3年全球'!AN12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'3年全球'!AN13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152</v>
      </c>
      <c r="C14" s="31"/>
      <c r="D14" s="31"/>
      <c r="E14" s="31"/>
      <c r="F14" s="32"/>
      <c r="G14" s="19"/>
      <c r="H14" s="31" t="s">
        <v>152</v>
      </c>
      <c r="I14" s="31"/>
      <c r="J14" s="31"/>
      <c r="K14" s="31"/>
      <c r="L14" s="32"/>
      <c r="M14" s="19"/>
      <c r="N14" s="31" t="s">
        <v>152</v>
      </c>
      <c r="O14" s="31"/>
      <c r="P14" s="31"/>
      <c r="Q14" s="31"/>
      <c r="R14" s="32"/>
      <c r="S14" s="19"/>
      <c r="T14" s="31" t="s">
        <v>152</v>
      </c>
      <c r="U14" s="31"/>
      <c r="V14" s="31"/>
      <c r="W14" s="31"/>
      <c r="X14" s="32"/>
      <c r="Y14" s="19"/>
      <c r="Z14" s="31" t="s">
        <v>152</v>
      </c>
      <c r="AA14" s="31"/>
      <c r="AB14" s="31"/>
      <c r="AC14" s="31"/>
      <c r="AD14" s="32"/>
      <c r="AE14" s="33"/>
      <c r="AF14" s="15"/>
      <c r="AG14" s="8" t="s">
        <v>62</v>
      </c>
      <c r="AH14" s="24">
        <f>'3年全球'!AN14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'3年全球'!AN15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'3年全球'!AN16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'3年全球'!AN17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152</v>
      </c>
      <c r="C21" s="37"/>
      <c r="D21" s="37"/>
      <c r="E21" s="37"/>
      <c r="F21" s="38"/>
      <c r="G21" s="36"/>
      <c r="H21" s="37" t="s">
        <v>152</v>
      </c>
      <c r="I21" s="37"/>
      <c r="J21" s="37"/>
      <c r="K21" s="37"/>
      <c r="L21" s="38"/>
      <c r="M21" s="36"/>
      <c r="N21" s="37" t="s">
        <v>152</v>
      </c>
      <c r="O21" s="37"/>
      <c r="P21" s="37"/>
      <c r="Q21" s="37"/>
      <c r="R21" s="38"/>
      <c r="S21" s="36"/>
      <c r="T21" s="37" t="s">
        <v>152</v>
      </c>
      <c r="U21" s="37"/>
      <c r="V21" s="37"/>
      <c r="W21" s="37"/>
      <c r="X21" s="38"/>
      <c r="Y21" s="36"/>
      <c r="Z21" s="37" t="s">
        <v>152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市场预测!L50</f>
        <v>3</v>
      </c>
      <c r="E22" s="41"/>
      <c r="F22" s="41"/>
      <c r="G22" s="42"/>
      <c r="H22" s="12" t="s">
        <v>131</v>
      </c>
      <c r="I22" s="12"/>
      <c r="J22" s="43">
        <v>7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8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1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57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31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24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17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17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4</v>
      </c>
      <c r="D27" s="28"/>
      <c r="E27" s="29"/>
      <c r="F27" s="23"/>
      <c r="G27" s="19"/>
      <c r="H27" s="20" t="s">
        <v>123</v>
      </c>
      <c r="I27" s="27">
        <f ca="1">IF(D45&gt;=2,RANDBETWEEN(D46,J46),0)</f>
        <v>3</v>
      </c>
      <c r="J27" s="28"/>
      <c r="K27" s="29"/>
      <c r="L27" s="23"/>
      <c r="M27" s="19"/>
      <c r="N27" s="20" t="s">
        <v>123</v>
      </c>
      <c r="O27" s="27">
        <f ca="1">IF(D45&gt;=3,RANDBETWEEN(D46,J46),0)</f>
        <v>2</v>
      </c>
      <c r="P27" s="28"/>
      <c r="Q27" s="29"/>
      <c r="R27" s="23"/>
      <c r="S27" s="19"/>
      <c r="T27" s="20" t="s">
        <v>123</v>
      </c>
      <c r="U27" s="27">
        <f ca="1">IF(D45&gt;=4,RANDBETWEEN(D46,J46),0)</f>
        <v>2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7.75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8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8.5</v>
      </c>
      <c r="P28" s="22" t="s">
        <v>121</v>
      </c>
      <c r="Q28" s="22"/>
      <c r="R28" s="23"/>
      <c r="S28" s="19"/>
      <c r="T28" s="20" t="s">
        <v>124</v>
      </c>
      <c r="U28" s="30">
        <f ca="1">U26/U27</f>
        <v>8.5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4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4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3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3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152</v>
      </c>
      <c r="C30" s="31"/>
      <c r="D30" s="31"/>
      <c r="E30" s="31"/>
      <c r="F30" s="32"/>
      <c r="G30" s="19"/>
      <c r="H30" s="31" t="s">
        <v>152</v>
      </c>
      <c r="I30" s="31"/>
      <c r="J30" s="31"/>
      <c r="K30" s="31"/>
      <c r="L30" s="32"/>
      <c r="M30" s="19"/>
      <c r="N30" s="31" t="s">
        <v>152</v>
      </c>
      <c r="O30" s="31"/>
      <c r="P30" s="31"/>
      <c r="Q30" s="31"/>
      <c r="R30" s="32"/>
      <c r="S30" s="19"/>
      <c r="T30" s="31" t="s">
        <v>152</v>
      </c>
      <c r="U30" s="31"/>
      <c r="V30" s="31"/>
      <c r="W30" s="31"/>
      <c r="X30" s="32"/>
      <c r="Y30" s="19"/>
      <c r="Z30" s="31" t="s">
        <v>152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152</v>
      </c>
      <c r="C37" s="31"/>
      <c r="D37" s="31"/>
      <c r="E37" s="31"/>
      <c r="F37" s="32"/>
      <c r="G37" s="19"/>
      <c r="H37" s="31" t="s">
        <v>152</v>
      </c>
      <c r="I37" s="31"/>
      <c r="J37" s="31"/>
      <c r="K37" s="31"/>
      <c r="L37" s="32"/>
      <c r="M37" s="19"/>
      <c r="N37" s="31" t="s">
        <v>152</v>
      </c>
      <c r="O37" s="31"/>
      <c r="P37" s="31"/>
      <c r="Q37" s="31"/>
      <c r="R37" s="32"/>
      <c r="S37" s="19"/>
      <c r="T37" s="31" t="s">
        <v>152</v>
      </c>
      <c r="U37" s="31"/>
      <c r="V37" s="31"/>
      <c r="W37" s="31"/>
      <c r="X37" s="32"/>
      <c r="Y37" s="19"/>
      <c r="Z37" s="31" t="s">
        <v>152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152</v>
      </c>
      <c r="C44" s="37"/>
      <c r="D44" s="37"/>
      <c r="E44" s="37"/>
      <c r="F44" s="38"/>
      <c r="G44" s="36"/>
      <c r="H44" s="37" t="s">
        <v>152</v>
      </c>
      <c r="I44" s="37"/>
      <c r="J44" s="37"/>
      <c r="K44" s="37"/>
      <c r="L44" s="38"/>
      <c r="M44" s="36"/>
      <c r="N44" s="37" t="s">
        <v>152</v>
      </c>
      <c r="O44" s="37"/>
      <c r="P44" s="37"/>
      <c r="Q44" s="37"/>
      <c r="R44" s="38"/>
      <c r="S44" s="36"/>
      <c r="T44" s="37" t="s">
        <v>152</v>
      </c>
      <c r="U44" s="37"/>
      <c r="V44" s="37"/>
      <c r="W44" s="37"/>
      <c r="X44" s="38"/>
      <c r="Y44" s="36"/>
      <c r="Z44" s="37" t="s">
        <v>152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市场预测!M50</f>
        <v>4</v>
      </c>
      <c r="E45" s="41"/>
      <c r="F45" s="41"/>
      <c r="G45" s="42"/>
      <c r="H45" s="12" t="s">
        <v>131</v>
      </c>
      <c r="I45" s="12"/>
      <c r="J45" s="43">
        <v>8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11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1.375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89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21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39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2</v>
      </c>
      <c r="D50" s="28"/>
      <c r="E50" s="29"/>
      <c r="F50" s="23"/>
      <c r="G50" s="19"/>
      <c r="H50" s="20" t="s">
        <v>123</v>
      </c>
      <c r="I50" s="27">
        <f ca="1">IF(D68&gt;=2,RANDBETWEEN(D69,J69),0)</f>
        <v>4</v>
      </c>
      <c r="J50" s="28"/>
      <c r="K50" s="29"/>
      <c r="L50" s="23"/>
      <c r="M50" s="19"/>
      <c r="N50" s="20" t="s">
        <v>123</v>
      </c>
      <c r="O50" s="27">
        <f ca="1">IF(D68&gt;=3,RANDBETWEEN(D69,J69),0)</f>
        <v>0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10.5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9.75</v>
      </c>
      <c r="J51" s="22" t="s">
        <v>121</v>
      </c>
      <c r="K51" s="22"/>
      <c r="L51" s="23"/>
      <c r="M51" s="19"/>
      <c r="N51" s="20" t="s">
        <v>124</v>
      </c>
      <c r="O51" s="30" t="e">
        <f ca="1">O49/O50</f>
        <v>#DIV/0!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4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0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152</v>
      </c>
      <c r="C53" s="31"/>
      <c r="D53" s="31"/>
      <c r="E53" s="31"/>
      <c r="F53" s="32"/>
      <c r="G53" s="19"/>
      <c r="H53" s="31" t="s">
        <v>152</v>
      </c>
      <c r="I53" s="31"/>
      <c r="J53" s="31"/>
      <c r="K53" s="31"/>
      <c r="L53" s="32"/>
      <c r="M53" s="19"/>
      <c r="N53" s="31" t="s">
        <v>152</v>
      </c>
      <c r="O53" s="31"/>
      <c r="P53" s="31"/>
      <c r="Q53" s="31"/>
      <c r="R53" s="32"/>
      <c r="S53" s="19"/>
      <c r="T53" s="31" t="s">
        <v>152</v>
      </c>
      <c r="U53" s="31"/>
      <c r="V53" s="31"/>
      <c r="W53" s="31"/>
      <c r="X53" s="32"/>
      <c r="Y53" s="19"/>
      <c r="Z53" s="31" t="s">
        <v>152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152</v>
      </c>
      <c r="C60" s="31"/>
      <c r="D60" s="31"/>
      <c r="E60" s="31"/>
      <c r="F60" s="32"/>
      <c r="G60" s="19"/>
      <c r="H60" s="31" t="s">
        <v>152</v>
      </c>
      <c r="I60" s="31"/>
      <c r="J60" s="31"/>
      <c r="K60" s="31"/>
      <c r="L60" s="32"/>
      <c r="M60" s="19"/>
      <c r="N60" s="31" t="s">
        <v>152</v>
      </c>
      <c r="O60" s="31"/>
      <c r="P60" s="31"/>
      <c r="Q60" s="31"/>
      <c r="R60" s="32"/>
      <c r="S60" s="19"/>
      <c r="T60" s="31" t="s">
        <v>152</v>
      </c>
      <c r="U60" s="31"/>
      <c r="V60" s="31"/>
      <c r="W60" s="31"/>
      <c r="X60" s="32"/>
      <c r="Y60" s="19"/>
      <c r="Z60" s="31" t="s">
        <v>152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152</v>
      </c>
      <c r="C67" s="37"/>
      <c r="D67" s="37"/>
      <c r="E67" s="37"/>
      <c r="F67" s="38"/>
      <c r="G67" s="36"/>
      <c r="H67" s="37" t="s">
        <v>152</v>
      </c>
      <c r="I67" s="37"/>
      <c r="J67" s="37"/>
      <c r="K67" s="37"/>
      <c r="L67" s="38"/>
      <c r="M67" s="36"/>
      <c r="N67" s="37" t="s">
        <v>152</v>
      </c>
      <c r="O67" s="37"/>
      <c r="P67" s="37"/>
      <c r="Q67" s="37"/>
      <c r="R67" s="38"/>
      <c r="S67" s="36"/>
      <c r="T67" s="37" t="s">
        <v>152</v>
      </c>
      <c r="U67" s="37"/>
      <c r="V67" s="37"/>
      <c r="W67" s="37"/>
      <c r="X67" s="38"/>
      <c r="Y67" s="36"/>
      <c r="Z67" s="37" t="s">
        <v>152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市场预测!N50</f>
        <v>2</v>
      </c>
      <c r="E68" s="41"/>
      <c r="F68" s="41"/>
      <c r="G68" s="42"/>
      <c r="H68" s="12" t="s">
        <v>131</v>
      </c>
      <c r="I68" s="12"/>
      <c r="J68" s="43">
        <v>10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6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0.75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60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27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39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0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2</v>
      </c>
      <c r="D73" s="28"/>
      <c r="E73" s="29"/>
      <c r="F73" s="23"/>
      <c r="G73" s="19"/>
      <c r="H73" s="20" t="s">
        <v>123</v>
      </c>
      <c r="I73" s="27">
        <f ca="1">IF(D91&gt;=2,RANDBETWEEN(D92,J92),0)</f>
        <v>3</v>
      </c>
      <c r="J73" s="28"/>
      <c r="K73" s="29"/>
      <c r="L73" s="23"/>
      <c r="M73" s="19"/>
      <c r="N73" s="20" t="s">
        <v>123</v>
      </c>
      <c r="O73" s="27">
        <f ca="1">IF(D91&gt;=3,RANDBETWEEN(D92,J92),0)</f>
        <v>0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13.5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13</v>
      </c>
      <c r="J74" s="22" t="s">
        <v>121</v>
      </c>
      <c r="K74" s="22"/>
      <c r="L74" s="23"/>
      <c r="M74" s="19"/>
      <c r="N74" s="20" t="s">
        <v>124</v>
      </c>
      <c r="O74" s="30" t="e">
        <f ca="1">O72/O73</f>
        <v>#DIV/0!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4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4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0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152</v>
      </c>
      <c r="C76" s="31"/>
      <c r="D76" s="31"/>
      <c r="E76" s="31"/>
      <c r="F76" s="32"/>
      <c r="G76" s="19"/>
      <c r="H76" s="31" t="s">
        <v>152</v>
      </c>
      <c r="I76" s="31"/>
      <c r="J76" s="31"/>
      <c r="K76" s="31"/>
      <c r="L76" s="32"/>
      <c r="M76" s="19"/>
      <c r="N76" s="31" t="s">
        <v>152</v>
      </c>
      <c r="O76" s="31"/>
      <c r="P76" s="31"/>
      <c r="Q76" s="31"/>
      <c r="R76" s="32"/>
      <c r="S76" s="19"/>
      <c r="T76" s="31" t="s">
        <v>152</v>
      </c>
      <c r="U76" s="31"/>
      <c r="V76" s="31"/>
      <c r="W76" s="31"/>
      <c r="X76" s="32"/>
      <c r="Y76" s="19"/>
      <c r="Z76" s="31" t="s">
        <v>152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152</v>
      </c>
      <c r="C83" s="31"/>
      <c r="D83" s="31"/>
      <c r="E83" s="31"/>
      <c r="F83" s="32"/>
      <c r="G83" s="19"/>
      <c r="H83" s="31" t="s">
        <v>152</v>
      </c>
      <c r="I83" s="31"/>
      <c r="J83" s="31"/>
      <c r="K83" s="31"/>
      <c r="L83" s="32"/>
      <c r="M83" s="19"/>
      <c r="N83" s="31" t="s">
        <v>152</v>
      </c>
      <c r="O83" s="31"/>
      <c r="P83" s="31"/>
      <c r="Q83" s="31"/>
      <c r="R83" s="32"/>
      <c r="S83" s="19"/>
      <c r="T83" s="31" t="s">
        <v>152</v>
      </c>
      <c r="U83" s="31"/>
      <c r="V83" s="31"/>
      <c r="W83" s="31"/>
      <c r="X83" s="32"/>
      <c r="Y83" s="19"/>
      <c r="Z83" s="31" t="s">
        <v>152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152</v>
      </c>
      <c r="C90" s="37"/>
      <c r="D90" s="37"/>
      <c r="E90" s="37"/>
      <c r="F90" s="38"/>
      <c r="G90" s="36"/>
      <c r="H90" s="37" t="s">
        <v>152</v>
      </c>
      <c r="I90" s="37"/>
      <c r="J90" s="37"/>
      <c r="K90" s="37"/>
      <c r="L90" s="38"/>
      <c r="M90" s="36"/>
      <c r="N90" s="37" t="s">
        <v>152</v>
      </c>
      <c r="O90" s="37"/>
      <c r="P90" s="37"/>
      <c r="Q90" s="37"/>
      <c r="R90" s="38"/>
      <c r="S90" s="36"/>
      <c r="T90" s="37" t="s">
        <v>152</v>
      </c>
      <c r="U90" s="37"/>
      <c r="V90" s="37"/>
      <c r="W90" s="37"/>
      <c r="X90" s="38"/>
      <c r="Y90" s="36"/>
      <c r="Z90" s="37" t="s">
        <v>152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市场预测!O50</f>
        <v>2</v>
      </c>
      <c r="E91" s="41"/>
      <c r="F91" s="41"/>
      <c r="G91" s="42"/>
      <c r="H91" s="12" t="s">
        <v>131</v>
      </c>
      <c r="I91" s="12"/>
      <c r="J91" s="43">
        <v>13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5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0.625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66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AX92"/>
  <sheetViews>
    <sheetView view="pageBreakPreview" zoomScale="55" zoomScaleNormal="85" topLeftCell="A67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15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'4年本地'!AN3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3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'4年本地'!AN4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'4年本地'!AN5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'4年本地'!AN6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153</v>
      </c>
      <c r="C7" s="31"/>
      <c r="D7" s="31"/>
      <c r="E7" s="31"/>
      <c r="F7" s="32"/>
      <c r="G7" s="19"/>
      <c r="H7" s="31" t="s">
        <v>153</v>
      </c>
      <c r="I7" s="31"/>
      <c r="J7" s="31"/>
      <c r="K7" s="31"/>
      <c r="L7" s="32"/>
      <c r="M7" s="19"/>
      <c r="N7" s="31" t="s">
        <v>153</v>
      </c>
      <c r="O7" s="31"/>
      <c r="P7" s="31"/>
      <c r="Q7" s="31"/>
      <c r="R7" s="32"/>
      <c r="S7" s="19"/>
      <c r="T7" s="31" t="s">
        <v>153</v>
      </c>
      <c r="U7" s="31"/>
      <c r="V7" s="31"/>
      <c r="W7" s="31"/>
      <c r="X7" s="32"/>
      <c r="Y7" s="19"/>
      <c r="Z7" s="31" t="s">
        <v>153</v>
      </c>
      <c r="AA7" s="31"/>
      <c r="AB7" s="31"/>
      <c r="AC7" s="31"/>
      <c r="AD7" s="32"/>
      <c r="AE7" s="33"/>
      <c r="AF7" s="15"/>
      <c r="AG7" s="8" t="s">
        <v>55</v>
      </c>
      <c r="AH7" s="24">
        <f>'4年本地'!AN7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'4年本地'!AN8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'4年本地'!AN9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'4年本地'!AN10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'4年本地'!AN11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'4年本地'!AN12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'4年本地'!AN13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153</v>
      </c>
      <c r="C14" s="31"/>
      <c r="D14" s="31"/>
      <c r="E14" s="31"/>
      <c r="F14" s="32"/>
      <c r="G14" s="19"/>
      <c r="H14" s="31" t="s">
        <v>153</v>
      </c>
      <c r="I14" s="31"/>
      <c r="J14" s="31"/>
      <c r="K14" s="31"/>
      <c r="L14" s="32"/>
      <c r="M14" s="19"/>
      <c r="N14" s="31" t="s">
        <v>153</v>
      </c>
      <c r="O14" s="31"/>
      <c r="P14" s="31"/>
      <c r="Q14" s="31"/>
      <c r="R14" s="32"/>
      <c r="S14" s="19"/>
      <c r="T14" s="31" t="s">
        <v>153</v>
      </c>
      <c r="U14" s="31"/>
      <c r="V14" s="31"/>
      <c r="W14" s="31"/>
      <c r="X14" s="32"/>
      <c r="Y14" s="19"/>
      <c r="Z14" s="31" t="s">
        <v>153</v>
      </c>
      <c r="AA14" s="31"/>
      <c r="AB14" s="31"/>
      <c r="AC14" s="31"/>
      <c r="AD14" s="32"/>
      <c r="AE14" s="33"/>
      <c r="AF14" s="15"/>
      <c r="AG14" s="8" t="s">
        <v>62</v>
      </c>
      <c r="AH14" s="24">
        <f>'4年本地'!AN14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'4年本地'!AN15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'4年本地'!AN16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'4年本地'!AN17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153</v>
      </c>
      <c r="C21" s="37"/>
      <c r="D21" s="37"/>
      <c r="E21" s="37"/>
      <c r="F21" s="38"/>
      <c r="G21" s="36"/>
      <c r="H21" s="37" t="s">
        <v>153</v>
      </c>
      <c r="I21" s="37"/>
      <c r="J21" s="37"/>
      <c r="K21" s="37"/>
      <c r="L21" s="38"/>
      <c r="M21" s="36"/>
      <c r="N21" s="37" t="s">
        <v>153</v>
      </c>
      <c r="O21" s="37"/>
      <c r="P21" s="37"/>
      <c r="Q21" s="37"/>
      <c r="R21" s="38"/>
      <c r="S21" s="36"/>
      <c r="T21" s="37" t="s">
        <v>153</v>
      </c>
      <c r="U21" s="37"/>
      <c r="V21" s="37"/>
      <c r="W21" s="37"/>
      <c r="X21" s="38"/>
      <c r="Y21" s="36"/>
      <c r="Z21" s="37" t="s">
        <v>153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市场预测!L21</f>
        <v>1</v>
      </c>
      <c r="E22" s="41"/>
      <c r="F22" s="41"/>
      <c r="G22" s="42"/>
      <c r="H22" s="12" t="s">
        <v>131</v>
      </c>
      <c r="I22" s="12"/>
      <c r="J22" s="43">
        <v>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3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0.375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15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23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13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18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4</v>
      </c>
      <c r="D27" s="28"/>
      <c r="E27" s="29"/>
      <c r="F27" s="23"/>
      <c r="G27" s="19"/>
      <c r="H27" s="20" t="s">
        <v>123</v>
      </c>
      <c r="I27" s="27">
        <f ca="1">IF(D45&gt;=2,RANDBETWEEN(D46,J46),0)</f>
        <v>2</v>
      </c>
      <c r="J27" s="28"/>
      <c r="K27" s="29"/>
      <c r="L27" s="23"/>
      <c r="M27" s="19"/>
      <c r="N27" s="20" t="s">
        <v>123</v>
      </c>
      <c r="O27" s="27">
        <f ca="1">IF(D45&gt;=3,RANDBETWEEN(D46,J46),0)</f>
        <v>3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5.75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6.5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6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2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3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4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153</v>
      </c>
      <c r="C30" s="31"/>
      <c r="D30" s="31"/>
      <c r="E30" s="31"/>
      <c r="F30" s="32"/>
      <c r="G30" s="19"/>
      <c r="H30" s="31" t="s">
        <v>153</v>
      </c>
      <c r="I30" s="31"/>
      <c r="J30" s="31"/>
      <c r="K30" s="31"/>
      <c r="L30" s="32"/>
      <c r="M30" s="19"/>
      <c r="N30" s="31" t="s">
        <v>153</v>
      </c>
      <c r="O30" s="31"/>
      <c r="P30" s="31"/>
      <c r="Q30" s="31"/>
      <c r="R30" s="32"/>
      <c r="S30" s="19"/>
      <c r="T30" s="31" t="s">
        <v>153</v>
      </c>
      <c r="U30" s="31"/>
      <c r="V30" s="31"/>
      <c r="W30" s="31"/>
      <c r="X30" s="32"/>
      <c r="Y30" s="19"/>
      <c r="Z30" s="31" t="s">
        <v>153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153</v>
      </c>
      <c r="C37" s="31"/>
      <c r="D37" s="31"/>
      <c r="E37" s="31"/>
      <c r="F37" s="32"/>
      <c r="G37" s="19"/>
      <c r="H37" s="31" t="s">
        <v>153</v>
      </c>
      <c r="I37" s="31"/>
      <c r="J37" s="31"/>
      <c r="K37" s="31"/>
      <c r="L37" s="32"/>
      <c r="M37" s="19"/>
      <c r="N37" s="31" t="s">
        <v>153</v>
      </c>
      <c r="O37" s="31"/>
      <c r="P37" s="31"/>
      <c r="Q37" s="31"/>
      <c r="R37" s="32"/>
      <c r="S37" s="19"/>
      <c r="T37" s="31" t="s">
        <v>153</v>
      </c>
      <c r="U37" s="31"/>
      <c r="V37" s="31"/>
      <c r="W37" s="31"/>
      <c r="X37" s="32"/>
      <c r="Y37" s="19"/>
      <c r="Z37" s="31" t="s">
        <v>153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153</v>
      </c>
      <c r="C44" s="37"/>
      <c r="D44" s="37"/>
      <c r="E44" s="37"/>
      <c r="F44" s="38"/>
      <c r="G44" s="36"/>
      <c r="H44" s="37" t="s">
        <v>153</v>
      </c>
      <c r="I44" s="37"/>
      <c r="J44" s="37"/>
      <c r="K44" s="37"/>
      <c r="L44" s="38"/>
      <c r="M44" s="36"/>
      <c r="N44" s="37" t="s">
        <v>153</v>
      </c>
      <c r="O44" s="37"/>
      <c r="P44" s="37"/>
      <c r="Q44" s="37"/>
      <c r="R44" s="38"/>
      <c r="S44" s="36"/>
      <c r="T44" s="37" t="s">
        <v>153</v>
      </c>
      <c r="U44" s="37"/>
      <c r="V44" s="37"/>
      <c r="W44" s="37"/>
      <c r="X44" s="38"/>
      <c r="Y44" s="36"/>
      <c r="Z44" s="37" t="s">
        <v>153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市场预测!M21</f>
        <v>3</v>
      </c>
      <c r="E45" s="41"/>
      <c r="F45" s="41"/>
      <c r="G45" s="42"/>
      <c r="H45" s="12" t="s">
        <v>131</v>
      </c>
      <c r="I45" s="12"/>
      <c r="J45" s="43">
        <v>6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9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1.125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54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17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31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31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31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2</v>
      </c>
      <c r="D50" s="28"/>
      <c r="E50" s="29"/>
      <c r="F50" s="23"/>
      <c r="G50" s="19"/>
      <c r="H50" s="20" t="s">
        <v>123</v>
      </c>
      <c r="I50" s="27">
        <f ca="1">IF(D68&gt;=2,RANDBETWEEN(D69,J69),0)</f>
        <v>4</v>
      </c>
      <c r="J50" s="28"/>
      <c r="K50" s="29"/>
      <c r="L50" s="23"/>
      <c r="M50" s="19"/>
      <c r="N50" s="20" t="s">
        <v>123</v>
      </c>
      <c r="O50" s="27">
        <f ca="1">IF(D68&gt;=3,RANDBETWEEN(D69,J69),0)</f>
        <v>4</v>
      </c>
      <c r="P50" s="28"/>
      <c r="Q50" s="29"/>
      <c r="R50" s="23"/>
      <c r="S50" s="19"/>
      <c r="T50" s="20" t="s">
        <v>123</v>
      </c>
      <c r="U50" s="27">
        <f ca="1">IF(D68&gt;=4,RANDBETWEEN(D69,J69),0)</f>
        <v>4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8.5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7.75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7.75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7.75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4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4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2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153</v>
      </c>
      <c r="C53" s="31"/>
      <c r="D53" s="31"/>
      <c r="E53" s="31"/>
      <c r="F53" s="32"/>
      <c r="G53" s="19"/>
      <c r="H53" s="31" t="s">
        <v>153</v>
      </c>
      <c r="I53" s="31"/>
      <c r="J53" s="31"/>
      <c r="K53" s="31"/>
      <c r="L53" s="32"/>
      <c r="M53" s="19"/>
      <c r="N53" s="31" t="s">
        <v>153</v>
      </c>
      <c r="O53" s="31"/>
      <c r="P53" s="31"/>
      <c r="Q53" s="31"/>
      <c r="R53" s="32"/>
      <c r="S53" s="19"/>
      <c r="T53" s="31" t="s">
        <v>153</v>
      </c>
      <c r="U53" s="31"/>
      <c r="V53" s="31"/>
      <c r="W53" s="31"/>
      <c r="X53" s="32"/>
      <c r="Y53" s="19"/>
      <c r="Z53" s="31" t="s">
        <v>153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153</v>
      </c>
      <c r="C60" s="31"/>
      <c r="D60" s="31"/>
      <c r="E60" s="31"/>
      <c r="F60" s="32"/>
      <c r="G60" s="19"/>
      <c r="H60" s="31" t="s">
        <v>153</v>
      </c>
      <c r="I60" s="31"/>
      <c r="J60" s="31"/>
      <c r="K60" s="31"/>
      <c r="L60" s="32"/>
      <c r="M60" s="19"/>
      <c r="N60" s="31" t="s">
        <v>153</v>
      </c>
      <c r="O60" s="31"/>
      <c r="P60" s="31"/>
      <c r="Q60" s="31"/>
      <c r="R60" s="32"/>
      <c r="S60" s="19"/>
      <c r="T60" s="31" t="s">
        <v>153</v>
      </c>
      <c r="U60" s="31"/>
      <c r="V60" s="31"/>
      <c r="W60" s="31"/>
      <c r="X60" s="32"/>
      <c r="Y60" s="19"/>
      <c r="Z60" s="31" t="s">
        <v>153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153</v>
      </c>
      <c r="C67" s="37"/>
      <c r="D67" s="37"/>
      <c r="E67" s="37"/>
      <c r="F67" s="38"/>
      <c r="G67" s="36"/>
      <c r="H67" s="37" t="s">
        <v>153</v>
      </c>
      <c r="I67" s="37"/>
      <c r="J67" s="37"/>
      <c r="K67" s="37"/>
      <c r="L67" s="38"/>
      <c r="M67" s="36"/>
      <c r="N67" s="37" t="s">
        <v>153</v>
      </c>
      <c r="O67" s="37"/>
      <c r="P67" s="37"/>
      <c r="Q67" s="37"/>
      <c r="R67" s="38"/>
      <c r="S67" s="36"/>
      <c r="T67" s="37" t="s">
        <v>153</v>
      </c>
      <c r="U67" s="37"/>
      <c r="V67" s="37"/>
      <c r="W67" s="37"/>
      <c r="X67" s="38"/>
      <c r="Y67" s="36"/>
      <c r="Z67" s="37" t="s">
        <v>153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市场预测!N21</f>
        <v>4</v>
      </c>
      <c r="E68" s="41"/>
      <c r="F68" s="41"/>
      <c r="G68" s="42"/>
      <c r="H68" s="12" t="s">
        <v>131</v>
      </c>
      <c r="I68" s="12"/>
      <c r="J68" s="43">
        <v>8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14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110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43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33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33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4</v>
      </c>
      <c r="D73" s="28"/>
      <c r="E73" s="29"/>
      <c r="F73" s="23"/>
      <c r="G73" s="19"/>
      <c r="H73" s="20" t="s">
        <v>123</v>
      </c>
      <c r="I73" s="27">
        <f ca="1">IF(D91&gt;=2,RANDBETWEEN(D92,J92),0)</f>
        <v>3</v>
      </c>
      <c r="J73" s="28"/>
      <c r="K73" s="29"/>
      <c r="L73" s="23"/>
      <c r="M73" s="19"/>
      <c r="N73" s="20" t="s">
        <v>123</v>
      </c>
      <c r="O73" s="27">
        <f ca="1">IF(D91&gt;=3,RANDBETWEEN(D92,J92),0)</f>
        <v>3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10.75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11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11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3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4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3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153</v>
      </c>
      <c r="C76" s="31"/>
      <c r="D76" s="31"/>
      <c r="E76" s="31"/>
      <c r="F76" s="32"/>
      <c r="G76" s="19"/>
      <c r="H76" s="31" t="s">
        <v>153</v>
      </c>
      <c r="I76" s="31"/>
      <c r="J76" s="31"/>
      <c r="K76" s="31"/>
      <c r="L76" s="32"/>
      <c r="M76" s="19"/>
      <c r="N76" s="31" t="s">
        <v>153</v>
      </c>
      <c r="O76" s="31"/>
      <c r="P76" s="31"/>
      <c r="Q76" s="31"/>
      <c r="R76" s="32"/>
      <c r="S76" s="19"/>
      <c r="T76" s="31" t="s">
        <v>153</v>
      </c>
      <c r="U76" s="31"/>
      <c r="V76" s="31"/>
      <c r="W76" s="31"/>
      <c r="X76" s="32"/>
      <c r="Y76" s="19"/>
      <c r="Z76" s="31" t="s">
        <v>153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153</v>
      </c>
      <c r="C83" s="31"/>
      <c r="D83" s="31"/>
      <c r="E83" s="31"/>
      <c r="F83" s="32"/>
      <c r="G83" s="19"/>
      <c r="H83" s="31" t="s">
        <v>153</v>
      </c>
      <c r="I83" s="31"/>
      <c r="J83" s="31"/>
      <c r="K83" s="31"/>
      <c r="L83" s="32"/>
      <c r="M83" s="19"/>
      <c r="N83" s="31" t="s">
        <v>153</v>
      </c>
      <c r="O83" s="31"/>
      <c r="P83" s="31"/>
      <c r="Q83" s="31"/>
      <c r="R83" s="32"/>
      <c r="S83" s="19"/>
      <c r="T83" s="31" t="s">
        <v>153</v>
      </c>
      <c r="U83" s="31"/>
      <c r="V83" s="31"/>
      <c r="W83" s="31"/>
      <c r="X83" s="32"/>
      <c r="Y83" s="19"/>
      <c r="Z83" s="31" t="s">
        <v>153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153</v>
      </c>
      <c r="C90" s="37"/>
      <c r="D90" s="37"/>
      <c r="E90" s="37"/>
      <c r="F90" s="38"/>
      <c r="G90" s="36"/>
      <c r="H90" s="37" t="s">
        <v>153</v>
      </c>
      <c r="I90" s="37"/>
      <c r="J90" s="37"/>
      <c r="K90" s="37"/>
      <c r="L90" s="38"/>
      <c r="M90" s="36"/>
      <c r="N90" s="37" t="s">
        <v>153</v>
      </c>
      <c r="O90" s="37"/>
      <c r="P90" s="37"/>
      <c r="Q90" s="37"/>
      <c r="R90" s="38"/>
      <c r="S90" s="36"/>
      <c r="T90" s="37" t="s">
        <v>153</v>
      </c>
      <c r="U90" s="37"/>
      <c r="V90" s="37"/>
      <c r="W90" s="37"/>
      <c r="X90" s="38"/>
      <c r="Y90" s="36"/>
      <c r="Z90" s="37" t="s">
        <v>153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市场预测!O21</f>
        <v>3</v>
      </c>
      <c r="E91" s="41"/>
      <c r="F91" s="41"/>
      <c r="G91" s="42"/>
      <c r="H91" s="12" t="s">
        <v>131</v>
      </c>
      <c r="I91" s="12"/>
      <c r="J91" s="43">
        <v>11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109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AX92"/>
  <sheetViews>
    <sheetView view="pageBreakPreview" zoomScale="55" zoomScaleNormal="85" topLeftCell="A61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16.5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'4年区域'!AN3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3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'4年区域'!AN4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5.5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'4年区域'!AN5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'4年区域'!AN6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154</v>
      </c>
      <c r="C7" s="31"/>
      <c r="D7" s="31"/>
      <c r="E7" s="31"/>
      <c r="F7" s="32"/>
      <c r="G7" s="19"/>
      <c r="H7" s="31" t="s">
        <v>154</v>
      </c>
      <c r="I7" s="31"/>
      <c r="J7" s="31"/>
      <c r="K7" s="31"/>
      <c r="L7" s="32"/>
      <c r="M7" s="19"/>
      <c r="N7" s="31" t="s">
        <v>154</v>
      </c>
      <c r="O7" s="31"/>
      <c r="P7" s="31"/>
      <c r="Q7" s="31"/>
      <c r="R7" s="32"/>
      <c r="S7" s="19"/>
      <c r="T7" s="31" t="s">
        <v>154</v>
      </c>
      <c r="U7" s="31"/>
      <c r="V7" s="31"/>
      <c r="W7" s="31"/>
      <c r="X7" s="32"/>
      <c r="Y7" s="19"/>
      <c r="Z7" s="31" t="s">
        <v>154</v>
      </c>
      <c r="AA7" s="31"/>
      <c r="AB7" s="31"/>
      <c r="AC7" s="31"/>
      <c r="AD7" s="32"/>
      <c r="AE7" s="33"/>
      <c r="AF7" s="15"/>
      <c r="AG7" s="8" t="s">
        <v>55</v>
      </c>
      <c r="AH7" s="24">
        <f>'4年区域'!AN7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'4年区域'!AN8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'4年区域'!AN9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'4年区域'!AN10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'4年区域'!AN11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'4年区域'!AN12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'4年区域'!AN13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154</v>
      </c>
      <c r="C14" s="31"/>
      <c r="D14" s="31"/>
      <c r="E14" s="31"/>
      <c r="F14" s="32"/>
      <c r="G14" s="19"/>
      <c r="H14" s="31" t="s">
        <v>154</v>
      </c>
      <c r="I14" s="31"/>
      <c r="J14" s="31"/>
      <c r="K14" s="31"/>
      <c r="L14" s="32"/>
      <c r="M14" s="19"/>
      <c r="N14" s="31" t="s">
        <v>154</v>
      </c>
      <c r="O14" s="31"/>
      <c r="P14" s="31"/>
      <c r="Q14" s="31"/>
      <c r="R14" s="32"/>
      <c r="S14" s="19"/>
      <c r="T14" s="31" t="s">
        <v>154</v>
      </c>
      <c r="U14" s="31"/>
      <c r="V14" s="31"/>
      <c r="W14" s="31"/>
      <c r="X14" s="32"/>
      <c r="Y14" s="19"/>
      <c r="Z14" s="31" t="s">
        <v>154</v>
      </c>
      <c r="AA14" s="31"/>
      <c r="AB14" s="31"/>
      <c r="AC14" s="31"/>
      <c r="AD14" s="32"/>
      <c r="AE14" s="33"/>
      <c r="AF14" s="15"/>
      <c r="AG14" s="8" t="s">
        <v>62</v>
      </c>
      <c r="AH14" s="24">
        <f>'4年区域'!AN14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'4年区域'!AN15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'4年区域'!AN16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'4年区域'!AN17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154</v>
      </c>
      <c r="C21" s="37"/>
      <c r="D21" s="37"/>
      <c r="E21" s="37"/>
      <c r="F21" s="38"/>
      <c r="G21" s="36"/>
      <c r="H21" s="37" t="s">
        <v>154</v>
      </c>
      <c r="I21" s="37"/>
      <c r="J21" s="37"/>
      <c r="K21" s="37"/>
      <c r="L21" s="38"/>
      <c r="M21" s="36"/>
      <c r="N21" s="37" t="s">
        <v>154</v>
      </c>
      <c r="O21" s="37"/>
      <c r="P21" s="37"/>
      <c r="Q21" s="37"/>
      <c r="R21" s="38"/>
      <c r="S21" s="36"/>
      <c r="T21" s="37" t="s">
        <v>154</v>
      </c>
      <c r="U21" s="37"/>
      <c r="V21" s="37"/>
      <c r="W21" s="37"/>
      <c r="X21" s="38"/>
      <c r="Y21" s="36"/>
      <c r="Z21" s="37" t="s">
        <v>154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市场预测!L31</f>
        <v>1</v>
      </c>
      <c r="E22" s="41"/>
      <c r="F22" s="41"/>
      <c r="G22" s="42"/>
      <c r="H22" s="12" t="s">
        <v>131</v>
      </c>
      <c r="I22" s="12"/>
      <c r="J22" s="43">
        <v>5.5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3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0.375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16.5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19.5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14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2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6.5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7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3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4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154</v>
      </c>
      <c r="C30" s="31"/>
      <c r="D30" s="31"/>
      <c r="E30" s="31"/>
      <c r="F30" s="32"/>
      <c r="G30" s="19"/>
      <c r="H30" s="31" t="s">
        <v>154</v>
      </c>
      <c r="I30" s="31"/>
      <c r="J30" s="31"/>
      <c r="K30" s="31"/>
      <c r="L30" s="32"/>
      <c r="M30" s="19"/>
      <c r="N30" s="31" t="s">
        <v>154</v>
      </c>
      <c r="O30" s="31"/>
      <c r="P30" s="31"/>
      <c r="Q30" s="31"/>
      <c r="R30" s="32"/>
      <c r="S30" s="19"/>
      <c r="T30" s="31" t="s">
        <v>154</v>
      </c>
      <c r="U30" s="31"/>
      <c r="V30" s="31"/>
      <c r="W30" s="31"/>
      <c r="X30" s="32"/>
      <c r="Y30" s="19"/>
      <c r="Z30" s="31" t="s">
        <v>154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154</v>
      </c>
      <c r="C37" s="31"/>
      <c r="D37" s="31"/>
      <c r="E37" s="31"/>
      <c r="F37" s="32"/>
      <c r="G37" s="19"/>
      <c r="H37" s="31" t="s">
        <v>154</v>
      </c>
      <c r="I37" s="31"/>
      <c r="J37" s="31"/>
      <c r="K37" s="31"/>
      <c r="L37" s="32"/>
      <c r="M37" s="19"/>
      <c r="N37" s="31" t="s">
        <v>154</v>
      </c>
      <c r="O37" s="31"/>
      <c r="P37" s="31"/>
      <c r="Q37" s="31"/>
      <c r="R37" s="32"/>
      <c r="S37" s="19"/>
      <c r="T37" s="31" t="s">
        <v>154</v>
      </c>
      <c r="U37" s="31"/>
      <c r="V37" s="31"/>
      <c r="W37" s="31"/>
      <c r="X37" s="32"/>
      <c r="Y37" s="19"/>
      <c r="Z37" s="31" t="s">
        <v>154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154</v>
      </c>
      <c r="C44" s="37"/>
      <c r="D44" s="37"/>
      <c r="E44" s="37"/>
      <c r="F44" s="38"/>
      <c r="G44" s="36"/>
      <c r="H44" s="37" t="s">
        <v>154</v>
      </c>
      <c r="I44" s="37"/>
      <c r="J44" s="37"/>
      <c r="K44" s="37"/>
      <c r="L44" s="38"/>
      <c r="M44" s="36"/>
      <c r="N44" s="37" t="s">
        <v>154</v>
      </c>
      <c r="O44" s="37"/>
      <c r="P44" s="37"/>
      <c r="Q44" s="37"/>
      <c r="R44" s="38"/>
      <c r="S44" s="36"/>
      <c r="T44" s="37" t="s">
        <v>154</v>
      </c>
      <c r="U44" s="37"/>
      <c r="V44" s="37"/>
      <c r="W44" s="37"/>
      <c r="X44" s="38"/>
      <c r="Y44" s="36"/>
      <c r="Z44" s="37" t="s">
        <v>154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市场预测!M31</f>
        <v>2</v>
      </c>
      <c r="E45" s="41"/>
      <c r="F45" s="41"/>
      <c r="G45" s="42"/>
      <c r="H45" s="12" t="s">
        <v>131</v>
      </c>
      <c r="I45" s="12"/>
      <c r="J45" s="43">
        <v>6.5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5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0.625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33.5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33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18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33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18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4</v>
      </c>
      <c r="D50" s="28"/>
      <c r="E50" s="29"/>
      <c r="F50" s="23"/>
      <c r="G50" s="19"/>
      <c r="H50" s="20" t="s">
        <v>123</v>
      </c>
      <c r="I50" s="27">
        <f ca="1">IF(D68&gt;=2,RANDBETWEEN(D69,J69),0)</f>
        <v>2</v>
      </c>
      <c r="J50" s="28"/>
      <c r="K50" s="29"/>
      <c r="L50" s="23"/>
      <c r="M50" s="19"/>
      <c r="N50" s="20" t="s">
        <v>123</v>
      </c>
      <c r="O50" s="27">
        <f ca="1">IF(D68&gt;=3,RANDBETWEEN(D69,J69),0)</f>
        <v>4</v>
      </c>
      <c r="P50" s="28"/>
      <c r="Q50" s="29"/>
      <c r="R50" s="23"/>
      <c r="S50" s="19"/>
      <c r="T50" s="20" t="s">
        <v>123</v>
      </c>
      <c r="U50" s="27">
        <f ca="1">IF(D68&gt;=4,RANDBETWEEN(D69,J69),0)</f>
        <v>2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8.25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9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8.25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9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2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4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2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154</v>
      </c>
      <c r="C53" s="31"/>
      <c r="D53" s="31"/>
      <c r="E53" s="31"/>
      <c r="F53" s="32"/>
      <c r="G53" s="19"/>
      <c r="H53" s="31" t="s">
        <v>154</v>
      </c>
      <c r="I53" s="31"/>
      <c r="J53" s="31"/>
      <c r="K53" s="31"/>
      <c r="L53" s="32"/>
      <c r="M53" s="19"/>
      <c r="N53" s="31" t="s">
        <v>154</v>
      </c>
      <c r="O53" s="31"/>
      <c r="P53" s="31"/>
      <c r="Q53" s="31"/>
      <c r="R53" s="32"/>
      <c r="S53" s="19"/>
      <c r="T53" s="31" t="s">
        <v>154</v>
      </c>
      <c r="U53" s="31"/>
      <c r="V53" s="31"/>
      <c r="W53" s="31"/>
      <c r="X53" s="32"/>
      <c r="Y53" s="19"/>
      <c r="Z53" s="31" t="s">
        <v>154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154</v>
      </c>
      <c r="C60" s="31"/>
      <c r="D60" s="31"/>
      <c r="E60" s="31"/>
      <c r="F60" s="32"/>
      <c r="G60" s="19"/>
      <c r="H60" s="31" t="s">
        <v>154</v>
      </c>
      <c r="I60" s="31"/>
      <c r="J60" s="31"/>
      <c r="K60" s="31"/>
      <c r="L60" s="32"/>
      <c r="M60" s="19"/>
      <c r="N60" s="31" t="s">
        <v>154</v>
      </c>
      <c r="O60" s="31"/>
      <c r="P60" s="31"/>
      <c r="Q60" s="31"/>
      <c r="R60" s="32"/>
      <c r="S60" s="19"/>
      <c r="T60" s="31" t="s">
        <v>154</v>
      </c>
      <c r="U60" s="31"/>
      <c r="V60" s="31"/>
      <c r="W60" s="31"/>
      <c r="X60" s="32"/>
      <c r="Y60" s="19"/>
      <c r="Z60" s="31" t="s">
        <v>154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154</v>
      </c>
      <c r="C67" s="37"/>
      <c r="D67" s="37"/>
      <c r="E67" s="37"/>
      <c r="F67" s="38"/>
      <c r="G67" s="36"/>
      <c r="H67" s="37" t="s">
        <v>154</v>
      </c>
      <c r="I67" s="37"/>
      <c r="J67" s="37"/>
      <c r="K67" s="37"/>
      <c r="L67" s="38"/>
      <c r="M67" s="36"/>
      <c r="N67" s="37" t="s">
        <v>154</v>
      </c>
      <c r="O67" s="37"/>
      <c r="P67" s="37"/>
      <c r="Q67" s="37"/>
      <c r="R67" s="38"/>
      <c r="S67" s="36"/>
      <c r="T67" s="37" t="s">
        <v>154</v>
      </c>
      <c r="U67" s="37"/>
      <c r="V67" s="37"/>
      <c r="W67" s="37"/>
      <c r="X67" s="38"/>
      <c r="Y67" s="36"/>
      <c r="Z67" s="37" t="s">
        <v>154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市场预测!N31</f>
        <v>4</v>
      </c>
      <c r="E68" s="41"/>
      <c r="F68" s="41"/>
      <c r="G68" s="42"/>
      <c r="H68" s="12" t="s">
        <v>131</v>
      </c>
      <c r="I68" s="12"/>
      <c r="J68" s="43">
        <v>8.5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12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102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24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45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45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2</v>
      </c>
      <c r="D73" s="28"/>
      <c r="E73" s="29"/>
      <c r="F73" s="23"/>
      <c r="G73" s="19"/>
      <c r="H73" s="20" t="s">
        <v>123</v>
      </c>
      <c r="I73" s="27">
        <f ca="1">IF(D91&gt;=2,RANDBETWEEN(D92,J92),0)</f>
        <v>4</v>
      </c>
      <c r="J73" s="28"/>
      <c r="K73" s="29"/>
      <c r="L73" s="23"/>
      <c r="M73" s="19"/>
      <c r="N73" s="20" t="s">
        <v>123</v>
      </c>
      <c r="O73" s="27">
        <f ca="1">IF(D91&gt;=3,RANDBETWEEN(D92,J92),0)</f>
        <v>4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12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11.25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11.25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2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2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3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154</v>
      </c>
      <c r="C76" s="31"/>
      <c r="D76" s="31"/>
      <c r="E76" s="31"/>
      <c r="F76" s="32"/>
      <c r="G76" s="19"/>
      <c r="H76" s="31" t="s">
        <v>154</v>
      </c>
      <c r="I76" s="31"/>
      <c r="J76" s="31"/>
      <c r="K76" s="31"/>
      <c r="L76" s="32"/>
      <c r="M76" s="19"/>
      <c r="N76" s="31" t="s">
        <v>154</v>
      </c>
      <c r="O76" s="31"/>
      <c r="P76" s="31"/>
      <c r="Q76" s="31"/>
      <c r="R76" s="32"/>
      <c r="S76" s="19"/>
      <c r="T76" s="31" t="s">
        <v>154</v>
      </c>
      <c r="U76" s="31"/>
      <c r="V76" s="31"/>
      <c r="W76" s="31"/>
      <c r="X76" s="32"/>
      <c r="Y76" s="19"/>
      <c r="Z76" s="31" t="s">
        <v>154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154</v>
      </c>
      <c r="C83" s="31"/>
      <c r="D83" s="31"/>
      <c r="E83" s="31"/>
      <c r="F83" s="32"/>
      <c r="G83" s="19"/>
      <c r="H83" s="31" t="s">
        <v>154</v>
      </c>
      <c r="I83" s="31"/>
      <c r="J83" s="31"/>
      <c r="K83" s="31"/>
      <c r="L83" s="32"/>
      <c r="M83" s="19"/>
      <c r="N83" s="31" t="s">
        <v>154</v>
      </c>
      <c r="O83" s="31"/>
      <c r="P83" s="31"/>
      <c r="Q83" s="31"/>
      <c r="R83" s="32"/>
      <c r="S83" s="19"/>
      <c r="T83" s="31" t="s">
        <v>154</v>
      </c>
      <c r="U83" s="31"/>
      <c r="V83" s="31"/>
      <c r="W83" s="31"/>
      <c r="X83" s="32"/>
      <c r="Y83" s="19"/>
      <c r="Z83" s="31" t="s">
        <v>154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154</v>
      </c>
      <c r="C90" s="37"/>
      <c r="D90" s="37"/>
      <c r="E90" s="37"/>
      <c r="F90" s="38"/>
      <c r="G90" s="36"/>
      <c r="H90" s="37" t="s">
        <v>154</v>
      </c>
      <c r="I90" s="37"/>
      <c r="J90" s="37"/>
      <c r="K90" s="37"/>
      <c r="L90" s="38"/>
      <c r="M90" s="36"/>
      <c r="N90" s="37" t="s">
        <v>154</v>
      </c>
      <c r="O90" s="37"/>
      <c r="P90" s="37"/>
      <c r="Q90" s="37"/>
      <c r="R90" s="38"/>
      <c r="S90" s="36"/>
      <c r="T90" s="37" t="s">
        <v>154</v>
      </c>
      <c r="U90" s="37"/>
      <c r="V90" s="37"/>
      <c r="W90" s="37"/>
      <c r="X90" s="38"/>
      <c r="Y90" s="36"/>
      <c r="Z90" s="37" t="s">
        <v>154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市场预测!O31</f>
        <v>3</v>
      </c>
      <c r="E91" s="41"/>
      <c r="F91" s="41"/>
      <c r="G91" s="42"/>
      <c r="H91" s="12" t="s">
        <v>131</v>
      </c>
      <c r="I91" s="12"/>
      <c r="J91" s="43">
        <v>11.5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114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AX92"/>
  <sheetViews>
    <sheetView view="pageBreakPreview" zoomScale="55" zoomScaleNormal="85" topLeftCell="A63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23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'4年全国'!AN3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4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'4年全国'!AN4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5.75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'4年全国'!AN5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3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'4年全国'!AN6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155</v>
      </c>
      <c r="C7" s="31"/>
      <c r="D7" s="31"/>
      <c r="E7" s="31"/>
      <c r="F7" s="32"/>
      <c r="G7" s="19"/>
      <c r="H7" s="31" t="s">
        <v>155</v>
      </c>
      <c r="I7" s="31"/>
      <c r="J7" s="31"/>
      <c r="K7" s="31"/>
      <c r="L7" s="32"/>
      <c r="M7" s="19"/>
      <c r="N7" s="31" t="s">
        <v>155</v>
      </c>
      <c r="O7" s="31"/>
      <c r="P7" s="31"/>
      <c r="Q7" s="31"/>
      <c r="R7" s="32"/>
      <c r="S7" s="19"/>
      <c r="T7" s="31" t="s">
        <v>155</v>
      </c>
      <c r="U7" s="31"/>
      <c r="V7" s="31"/>
      <c r="W7" s="31"/>
      <c r="X7" s="32"/>
      <c r="Y7" s="19"/>
      <c r="Z7" s="31" t="s">
        <v>155</v>
      </c>
      <c r="AA7" s="31"/>
      <c r="AB7" s="31"/>
      <c r="AC7" s="31"/>
      <c r="AD7" s="32"/>
      <c r="AE7" s="33"/>
      <c r="AF7" s="15"/>
      <c r="AG7" s="8" t="s">
        <v>55</v>
      </c>
      <c r="AH7" s="24">
        <f>'4年全国'!AN7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'4年全国'!AN8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'4年全国'!AN9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'4年全国'!AN10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'4年全国'!AN11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'4年全国'!AN12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'4年全国'!AN13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155</v>
      </c>
      <c r="C14" s="31"/>
      <c r="D14" s="31"/>
      <c r="E14" s="31"/>
      <c r="F14" s="32"/>
      <c r="G14" s="19"/>
      <c r="H14" s="31" t="s">
        <v>155</v>
      </c>
      <c r="I14" s="31"/>
      <c r="J14" s="31"/>
      <c r="K14" s="31"/>
      <c r="L14" s="32"/>
      <c r="M14" s="19"/>
      <c r="N14" s="31" t="s">
        <v>155</v>
      </c>
      <c r="O14" s="31"/>
      <c r="P14" s="31"/>
      <c r="Q14" s="31"/>
      <c r="R14" s="32"/>
      <c r="S14" s="19"/>
      <c r="T14" s="31" t="s">
        <v>155</v>
      </c>
      <c r="U14" s="31"/>
      <c r="V14" s="31"/>
      <c r="W14" s="31"/>
      <c r="X14" s="32"/>
      <c r="Y14" s="19"/>
      <c r="Z14" s="31" t="s">
        <v>155</v>
      </c>
      <c r="AA14" s="31"/>
      <c r="AB14" s="31"/>
      <c r="AC14" s="31"/>
      <c r="AD14" s="32"/>
      <c r="AE14" s="33"/>
      <c r="AF14" s="15"/>
      <c r="AG14" s="8" t="s">
        <v>62</v>
      </c>
      <c r="AH14" s="24">
        <f>'4年全国'!AN14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'4年全国'!AN15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'4年全国'!AN16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'4年全国'!AN17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155</v>
      </c>
      <c r="C21" s="37"/>
      <c r="D21" s="37"/>
      <c r="E21" s="37"/>
      <c r="F21" s="38"/>
      <c r="G21" s="36"/>
      <c r="H21" s="37" t="s">
        <v>155</v>
      </c>
      <c r="I21" s="37"/>
      <c r="J21" s="37"/>
      <c r="K21" s="37"/>
      <c r="L21" s="38"/>
      <c r="M21" s="36"/>
      <c r="N21" s="37" t="s">
        <v>155</v>
      </c>
      <c r="O21" s="37"/>
      <c r="P21" s="37"/>
      <c r="Q21" s="37"/>
      <c r="R21" s="38"/>
      <c r="S21" s="36"/>
      <c r="T21" s="37" t="s">
        <v>155</v>
      </c>
      <c r="U21" s="37"/>
      <c r="V21" s="37"/>
      <c r="W21" s="37"/>
      <c r="X21" s="38"/>
      <c r="Y21" s="36"/>
      <c r="Z21" s="37" t="s">
        <v>155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市场预测!L41</f>
        <v>1</v>
      </c>
      <c r="E22" s="41"/>
      <c r="F22" s="41"/>
      <c r="G22" s="42"/>
      <c r="H22" s="12" t="s">
        <v>131</v>
      </c>
      <c r="I22" s="12"/>
      <c r="J22" s="43">
        <v>6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4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23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21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15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27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2</v>
      </c>
      <c r="J27" s="28"/>
      <c r="K27" s="29"/>
      <c r="L27" s="23"/>
      <c r="M27" s="19"/>
      <c r="N27" s="20" t="s">
        <v>123</v>
      </c>
      <c r="O27" s="27">
        <f ca="1">IF(D45&gt;=3,RANDBETWEEN(D46,J46),0)</f>
        <v>4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7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7.5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6.75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3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2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4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155</v>
      </c>
      <c r="C30" s="31"/>
      <c r="D30" s="31"/>
      <c r="E30" s="31"/>
      <c r="F30" s="32"/>
      <c r="G30" s="19"/>
      <c r="H30" s="31" t="s">
        <v>155</v>
      </c>
      <c r="I30" s="31"/>
      <c r="J30" s="31"/>
      <c r="K30" s="31"/>
      <c r="L30" s="32"/>
      <c r="M30" s="19"/>
      <c r="N30" s="31" t="s">
        <v>155</v>
      </c>
      <c r="O30" s="31"/>
      <c r="P30" s="31"/>
      <c r="Q30" s="31"/>
      <c r="R30" s="32"/>
      <c r="S30" s="19"/>
      <c r="T30" s="31" t="s">
        <v>155</v>
      </c>
      <c r="U30" s="31"/>
      <c r="V30" s="31"/>
      <c r="W30" s="31"/>
      <c r="X30" s="32"/>
      <c r="Y30" s="19"/>
      <c r="Z30" s="31" t="s">
        <v>155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155</v>
      </c>
      <c r="C37" s="31"/>
      <c r="D37" s="31"/>
      <c r="E37" s="31"/>
      <c r="F37" s="32"/>
      <c r="G37" s="19"/>
      <c r="H37" s="31" t="s">
        <v>155</v>
      </c>
      <c r="I37" s="31"/>
      <c r="J37" s="31"/>
      <c r="K37" s="31"/>
      <c r="L37" s="32"/>
      <c r="M37" s="19"/>
      <c r="N37" s="31" t="s">
        <v>155</v>
      </c>
      <c r="O37" s="31"/>
      <c r="P37" s="31"/>
      <c r="Q37" s="31"/>
      <c r="R37" s="32"/>
      <c r="S37" s="19"/>
      <c r="T37" s="31" t="s">
        <v>155</v>
      </c>
      <c r="U37" s="31"/>
      <c r="V37" s="31"/>
      <c r="W37" s="31"/>
      <c r="X37" s="32"/>
      <c r="Y37" s="19"/>
      <c r="Z37" s="31" t="s">
        <v>155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155</v>
      </c>
      <c r="C44" s="37"/>
      <c r="D44" s="37"/>
      <c r="E44" s="37"/>
      <c r="F44" s="38"/>
      <c r="G44" s="36"/>
      <c r="H44" s="37" t="s">
        <v>155</v>
      </c>
      <c r="I44" s="37"/>
      <c r="J44" s="37"/>
      <c r="K44" s="37"/>
      <c r="L44" s="38"/>
      <c r="M44" s="36"/>
      <c r="N44" s="37" t="s">
        <v>155</v>
      </c>
      <c r="O44" s="37"/>
      <c r="P44" s="37"/>
      <c r="Q44" s="37"/>
      <c r="R44" s="38"/>
      <c r="S44" s="36"/>
      <c r="T44" s="37" t="s">
        <v>155</v>
      </c>
      <c r="U44" s="37"/>
      <c r="V44" s="37"/>
      <c r="W44" s="37"/>
      <c r="X44" s="38"/>
      <c r="Y44" s="36"/>
      <c r="Z44" s="37" t="s">
        <v>155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市场预测!M41</f>
        <v>3</v>
      </c>
      <c r="E45" s="41"/>
      <c r="F45" s="41"/>
      <c r="G45" s="42"/>
      <c r="H45" s="12" t="s">
        <v>131</v>
      </c>
      <c r="I45" s="12"/>
      <c r="J45" s="43">
        <v>7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9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1.125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63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35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27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35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4</v>
      </c>
      <c r="D50" s="28"/>
      <c r="E50" s="29"/>
      <c r="F50" s="23"/>
      <c r="G50" s="19"/>
      <c r="H50" s="20" t="s">
        <v>123</v>
      </c>
      <c r="I50" s="27">
        <f ca="1">IF(D68&gt;=2,RANDBETWEEN(D69,J69),0)</f>
        <v>3</v>
      </c>
      <c r="J50" s="28"/>
      <c r="K50" s="29"/>
      <c r="L50" s="23"/>
      <c r="M50" s="19"/>
      <c r="N50" s="20" t="s">
        <v>123</v>
      </c>
      <c r="O50" s="27">
        <f ca="1">IF(D68&gt;=3,RANDBETWEEN(D69,J69),0)</f>
        <v>4</v>
      </c>
      <c r="P50" s="28"/>
      <c r="Q50" s="29"/>
      <c r="R50" s="23"/>
      <c r="S50" s="19"/>
      <c r="T50" s="20" t="s">
        <v>123</v>
      </c>
      <c r="U50" s="27">
        <f ca="1">IF(D68&gt;=4,RANDBETWEEN(D69,J69),0)</f>
        <v>0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8.75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9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8.75</v>
      </c>
      <c r="P51" s="22" t="s">
        <v>121</v>
      </c>
      <c r="Q51" s="22"/>
      <c r="R51" s="23"/>
      <c r="S51" s="19"/>
      <c r="T51" s="20" t="s">
        <v>124</v>
      </c>
      <c r="U51" s="30" t="e">
        <f ca="1">U49/U50</f>
        <v>#DIV/0!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2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2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0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155</v>
      </c>
      <c r="C53" s="31"/>
      <c r="D53" s="31"/>
      <c r="E53" s="31"/>
      <c r="F53" s="32"/>
      <c r="G53" s="19"/>
      <c r="H53" s="31" t="s">
        <v>155</v>
      </c>
      <c r="I53" s="31"/>
      <c r="J53" s="31"/>
      <c r="K53" s="31"/>
      <c r="L53" s="32"/>
      <c r="M53" s="19"/>
      <c r="N53" s="31" t="s">
        <v>155</v>
      </c>
      <c r="O53" s="31"/>
      <c r="P53" s="31"/>
      <c r="Q53" s="31"/>
      <c r="R53" s="32"/>
      <c r="S53" s="19"/>
      <c r="T53" s="31" t="s">
        <v>155</v>
      </c>
      <c r="U53" s="31"/>
      <c r="V53" s="31"/>
      <c r="W53" s="31"/>
      <c r="X53" s="32"/>
      <c r="Y53" s="19"/>
      <c r="Z53" s="31" t="s">
        <v>155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155</v>
      </c>
      <c r="C60" s="31"/>
      <c r="D60" s="31"/>
      <c r="E60" s="31"/>
      <c r="F60" s="32"/>
      <c r="G60" s="19"/>
      <c r="H60" s="31" t="s">
        <v>155</v>
      </c>
      <c r="I60" s="31"/>
      <c r="J60" s="31"/>
      <c r="K60" s="31"/>
      <c r="L60" s="32"/>
      <c r="M60" s="19"/>
      <c r="N60" s="31" t="s">
        <v>155</v>
      </c>
      <c r="O60" s="31"/>
      <c r="P60" s="31"/>
      <c r="Q60" s="31"/>
      <c r="R60" s="32"/>
      <c r="S60" s="19"/>
      <c r="T60" s="31" t="s">
        <v>155</v>
      </c>
      <c r="U60" s="31"/>
      <c r="V60" s="31"/>
      <c r="W60" s="31"/>
      <c r="X60" s="32"/>
      <c r="Y60" s="19"/>
      <c r="Z60" s="31" t="s">
        <v>155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155</v>
      </c>
      <c r="C67" s="37"/>
      <c r="D67" s="37"/>
      <c r="E67" s="37"/>
      <c r="F67" s="38"/>
      <c r="G67" s="36"/>
      <c r="H67" s="37" t="s">
        <v>155</v>
      </c>
      <c r="I67" s="37"/>
      <c r="J67" s="37"/>
      <c r="K67" s="37"/>
      <c r="L67" s="38"/>
      <c r="M67" s="36"/>
      <c r="N67" s="37" t="s">
        <v>155</v>
      </c>
      <c r="O67" s="37"/>
      <c r="P67" s="37"/>
      <c r="Q67" s="37"/>
      <c r="R67" s="38"/>
      <c r="S67" s="36"/>
      <c r="T67" s="37" t="s">
        <v>155</v>
      </c>
      <c r="U67" s="37"/>
      <c r="V67" s="37"/>
      <c r="W67" s="37"/>
      <c r="X67" s="38"/>
      <c r="Y67" s="36"/>
      <c r="Z67" s="37" t="s">
        <v>155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市场预测!N41</f>
        <v>3</v>
      </c>
      <c r="E68" s="41"/>
      <c r="F68" s="41"/>
      <c r="G68" s="42"/>
      <c r="H68" s="12" t="s">
        <v>131</v>
      </c>
      <c r="I68" s="12"/>
      <c r="J68" s="43">
        <v>9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11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1.375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97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47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47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47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4</v>
      </c>
      <c r="D73" s="28"/>
      <c r="E73" s="29"/>
      <c r="F73" s="23"/>
      <c r="G73" s="19"/>
      <c r="H73" s="20" t="s">
        <v>123</v>
      </c>
      <c r="I73" s="27">
        <f ca="1">IF(D91&gt;=2,RANDBETWEEN(D92,J92),0)</f>
        <v>4</v>
      </c>
      <c r="J73" s="28"/>
      <c r="K73" s="29"/>
      <c r="L73" s="23"/>
      <c r="M73" s="19"/>
      <c r="N73" s="20" t="s">
        <v>123</v>
      </c>
      <c r="O73" s="27">
        <f ca="1">IF(D91&gt;=3,RANDBETWEEN(D92,J92),0)</f>
        <v>4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11.75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11.75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11.75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4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3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2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155</v>
      </c>
      <c r="C76" s="31"/>
      <c r="D76" s="31"/>
      <c r="E76" s="31"/>
      <c r="F76" s="32"/>
      <c r="G76" s="19"/>
      <c r="H76" s="31" t="s">
        <v>155</v>
      </c>
      <c r="I76" s="31"/>
      <c r="J76" s="31"/>
      <c r="K76" s="31"/>
      <c r="L76" s="32"/>
      <c r="M76" s="19"/>
      <c r="N76" s="31" t="s">
        <v>155</v>
      </c>
      <c r="O76" s="31"/>
      <c r="P76" s="31"/>
      <c r="Q76" s="31"/>
      <c r="R76" s="32"/>
      <c r="S76" s="19"/>
      <c r="T76" s="31" t="s">
        <v>155</v>
      </c>
      <c r="U76" s="31"/>
      <c r="V76" s="31"/>
      <c r="W76" s="31"/>
      <c r="X76" s="32"/>
      <c r="Y76" s="19"/>
      <c r="Z76" s="31" t="s">
        <v>155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155</v>
      </c>
      <c r="C83" s="31"/>
      <c r="D83" s="31"/>
      <c r="E83" s="31"/>
      <c r="F83" s="32"/>
      <c r="G83" s="19"/>
      <c r="H83" s="31" t="s">
        <v>155</v>
      </c>
      <c r="I83" s="31"/>
      <c r="J83" s="31"/>
      <c r="K83" s="31"/>
      <c r="L83" s="32"/>
      <c r="M83" s="19"/>
      <c r="N83" s="31" t="s">
        <v>155</v>
      </c>
      <c r="O83" s="31"/>
      <c r="P83" s="31"/>
      <c r="Q83" s="31"/>
      <c r="R83" s="32"/>
      <c r="S83" s="19"/>
      <c r="T83" s="31" t="s">
        <v>155</v>
      </c>
      <c r="U83" s="31"/>
      <c r="V83" s="31"/>
      <c r="W83" s="31"/>
      <c r="X83" s="32"/>
      <c r="Y83" s="19"/>
      <c r="Z83" s="31" t="s">
        <v>155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155</v>
      </c>
      <c r="C90" s="37"/>
      <c r="D90" s="37"/>
      <c r="E90" s="37"/>
      <c r="F90" s="38"/>
      <c r="G90" s="36"/>
      <c r="H90" s="37" t="s">
        <v>155</v>
      </c>
      <c r="I90" s="37"/>
      <c r="J90" s="37"/>
      <c r="K90" s="37"/>
      <c r="L90" s="38"/>
      <c r="M90" s="36"/>
      <c r="N90" s="37" t="s">
        <v>155</v>
      </c>
      <c r="O90" s="37"/>
      <c r="P90" s="37"/>
      <c r="Q90" s="37"/>
      <c r="R90" s="38"/>
      <c r="S90" s="36"/>
      <c r="T90" s="37" t="s">
        <v>155</v>
      </c>
      <c r="U90" s="37"/>
      <c r="V90" s="37"/>
      <c r="W90" s="37"/>
      <c r="X90" s="38"/>
      <c r="Y90" s="36"/>
      <c r="Z90" s="37" t="s">
        <v>155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市场预测!O41</f>
        <v>3</v>
      </c>
      <c r="E91" s="41"/>
      <c r="F91" s="41"/>
      <c r="G91" s="42"/>
      <c r="H91" s="12" t="s">
        <v>131</v>
      </c>
      <c r="I91" s="12"/>
      <c r="J91" s="43">
        <v>12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12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141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AX92"/>
  <sheetViews>
    <sheetView view="pageBreakPreview" zoomScale="55" zoomScaleNormal="85" topLeftCell="A73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27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21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'4年全球'!AN3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4</v>
      </c>
      <c r="D4" s="28"/>
      <c r="E4" s="29"/>
      <c r="F4" s="23"/>
      <c r="G4" s="19"/>
      <c r="H4" s="20" t="s">
        <v>123</v>
      </c>
      <c r="I4" s="27">
        <f ca="1">IF(D22&gt;=2,RANDBETWEEN(D23,J23),0)</f>
        <v>3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'4年全球'!AN4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6.75</v>
      </c>
      <c r="D5" s="22" t="s">
        <v>121</v>
      </c>
      <c r="E5" s="22"/>
      <c r="F5" s="23"/>
      <c r="G5" s="19"/>
      <c r="H5" s="20" t="s">
        <v>124</v>
      </c>
      <c r="I5" s="30">
        <f ca="1">I3/I4</f>
        <v>7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'4年全球'!AN5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3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'4年全球'!AN6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156</v>
      </c>
      <c r="C7" s="31"/>
      <c r="D7" s="31"/>
      <c r="E7" s="31"/>
      <c r="F7" s="32"/>
      <c r="G7" s="19"/>
      <c r="H7" s="31" t="s">
        <v>156</v>
      </c>
      <c r="I7" s="31"/>
      <c r="J7" s="31"/>
      <c r="K7" s="31"/>
      <c r="L7" s="32"/>
      <c r="M7" s="19"/>
      <c r="N7" s="31" t="s">
        <v>156</v>
      </c>
      <c r="O7" s="31"/>
      <c r="P7" s="31"/>
      <c r="Q7" s="31"/>
      <c r="R7" s="32"/>
      <c r="S7" s="19"/>
      <c r="T7" s="31" t="s">
        <v>156</v>
      </c>
      <c r="U7" s="31"/>
      <c r="V7" s="31"/>
      <c r="W7" s="31"/>
      <c r="X7" s="32"/>
      <c r="Y7" s="19"/>
      <c r="Z7" s="31" t="s">
        <v>156</v>
      </c>
      <c r="AA7" s="31"/>
      <c r="AB7" s="31"/>
      <c r="AC7" s="31"/>
      <c r="AD7" s="32"/>
      <c r="AE7" s="33"/>
      <c r="AF7" s="15"/>
      <c r="AG7" s="8" t="s">
        <v>55</v>
      </c>
      <c r="AH7" s="24">
        <f>'4年全球'!AN7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'4年全球'!AN8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'4年全球'!AN9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'4年全球'!AN10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'4年全球'!AN11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'4年全球'!AN12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'4年全球'!AN13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156</v>
      </c>
      <c r="C14" s="31"/>
      <c r="D14" s="31"/>
      <c r="E14" s="31"/>
      <c r="F14" s="32"/>
      <c r="G14" s="19"/>
      <c r="H14" s="31" t="s">
        <v>156</v>
      </c>
      <c r="I14" s="31"/>
      <c r="J14" s="31"/>
      <c r="K14" s="31"/>
      <c r="L14" s="32"/>
      <c r="M14" s="19"/>
      <c r="N14" s="31" t="s">
        <v>156</v>
      </c>
      <c r="O14" s="31"/>
      <c r="P14" s="31"/>
      <c r="Q14" s="31"/>
      <c r="R14" s="32"/>
      <c r="S14" s="19"/>
      <c r="T14" s="31" t="s">
        <v>156</v>
      </c>
      <c r="U14" s="31"/>
      <c r="V14" s="31"/>
      <c r="W14" s="31"/>
      <c r="X14" s="32"/>
      <c r="Y14" s="19"/>
      <c r="Z14" s="31" t="s">
        <v>156</v>
      </c>
      <c r="AA14" s="31"/>
      <c r="AB14" s="31"/>
      <c r="AC14" s="31"/>
      <c r="AD14" s="32"/>
      <c r="AE14" s="33"/>
      <c r="AF14" s="15"/>
      <c r="AG14" s="8" t="s">
        <v>62</v>
      </c>
      <c r="AH14" s="24">
        <f>'4年全球'!AN14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'4年全球'!AN15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'4年全球'!AN16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'4年全球'!AN17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156</v>
      </c>
      <c r="C21" s="37"/>
      <c r="D21" s="37"/>
      <c r="E21" s="37"/>
      <c r="F21" s="38"/>
      <c r="G21" s="36"/>
      <c r="H21" s="37" t="s">
        <v>156</v>
      </c>
      <c r="I21" s="37"/>
      <c r="J21" s="37"/>
      <c r="K21" s="37"/>
      <c r="L21" s="38"/>
      <c r="M21" s="36"/>
      <c r="N21" s="37" t="s">
        <v>156</v>
      </c>
      <c r="O21" s="37"/>
      <c r="P21" s="37"/>
      <c r="Q21" s="37"/>
      <c r="R21" s="38"/>
      <c r="S21" s="36"/>
      <c r="T21" s="37" t="s">
        <v>156</v>
      </c>
      <c r="U21" s="37"/>
      <c r="V21" s="37"/>
      <c r="W21" s="37"/>
      <c r="X21" s="38"/>
      <c r="Y21" s="36"/>
      <c r="Z21" s="37" t="s">
        <v>156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市场预测!L51</f>
        <v>2</v>
      </c>
      <c r="E22" s="41"/>
      <c r="F22" s="41"/>
      <c r="G22" s="42"/>
      <c r="H22" s="12" t="s">
        <v>131</v>
      </c>
      <c r="I22" s="12"/>
      <c r="J22" s="43">
        <v>7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7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0.875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48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17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31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31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2</v>
      </c>
      <c r="D27" s="28"/>
      <c r="E27" s="29"/>
      <c r="F27" s="23"/>
      <c r="G27" s="19"/>
      <c r="H27" s="20" t="s">
        <v>123</v>
      </c>
      <c r="I27" s="27">
        <f ca="1">IF(D45&gt;=2,RANDBETWEEN(D46,J46),0)</f>
        <v>4</v>
      </c>
      <c r="J27" s="28"/>
      <c r="K27" s="29"/>
      <c r="L27" s="23"/>
      <c r="M27" s="19"/>
      <c r="N27" s="20" t="s">
        <v>123</v>
      </c>
      <c r="O27" s="27">
        <f ca="1">IF(D45&gt;=3,RANDBETWEEN(D46,J46),0)</f>
        <v>4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8.5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7.75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7.75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4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4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4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156</v>
      </c>
      <c r="C30" s="31"/>
      <c r="D30" s="31"/>
      <c r="E30" s="31"/>
      <c r="F30" s="32"/>
      <c r="G30" s="19"/>
      <c r="H30" s="31" t="s">
        <v>156</v>
      </c>
      <c r="I30" s="31"/>
      <c r="J30" s="31"/>
      <c r="K30" s="31"/>
      <c r="L30" s="32"/>
      <c r="M30" s="19"/>
      <c r="N30" s="31" t="s">
        <v>156</v>
      </c>
      <c r="O30" s="31"/>
      <c r="P30" s="31"/>
      <c r="Q30" s="31"/>
      <c r="R30" s="32"/>
      <c r="S30" s="19"/>
      <c r="T30" s="31" t="s">
        <v>156</v>
      </c>
      <c r="U30" s="31"/>
      <c r="V30" s="31"/>
      <c r="W30" s="31"/>
      <c r="X30" s="32"/>
      <c r="Y30" s="19"/>
      <c r="Z30" s="31" t="s">
        <v>156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156</v>
      </c>
      <c r="C37" s="31"/>
      <c r="D37" s="31"/>
      <c r="E37" s="31"/>
      <c r="F37" s="32"/>
      <c r="G37" s="19"/>
      <c r="H37" s="31" t="s">
        <v>156</v>
      </c>
      <c r="I37" s="31"/>
      <c r="J37" s="31"/>
      <c r="K37" s="31"/>
      <c r="L37" s="32"/>
      <c r="M37" s="19"/>
      <c r="N37" s="31" t="s">
        <v>156</v>
      </c>
      <c r="O37" s="31"/>
      <c r="P37" s="31"/>
      <c r="Q37" s="31"/>
      <c r="R37" s="32"/>
      <c r="S37" s="19"/>
      <c r="T37" s="31" t="s">
        <v>156</v>
      </c>
      <c r="U37" s="31"/>
      <c r="V37" s="31"/>
      <c r="W37" s="31"/>
      <c r="X37" s="32"/>
      <c r="Y37" s="19"/>
      <c r="Z37" s="31" t="s">
        <v>156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156</v>
      </c>
      <c r="C44" s="37"/>
      <c r="D44" s="37"/>
      <c r="E44" s="37"/>
      <c r="F44" s="38"/>
      <c r="G44" s="36"/>
      <c r="H44" s="37" t="s">
        <v>156</v>
      </c>
      <c r="I44" s="37"/>
      <c r="J44" s="37"/>
      <c r="K44" s="37"/>
      <c r="L44" s="38"/>
      <c r="M44" s="36"/>
      <c r="N44" s="37" t="s">
        <v>156</v>
      </c>
      <c r="O44" s="37"/>
      <c r="P44" s="37"/>
      <c r="Q44" s="37"/>
      <c r="R44" s="38"/>
      <c r="S44" s="36"/>
      <c r="T44" s="37" t="s">
        <v>156</v>
      </c>
      <c r="U44" s="37"/>
      <c r="V44" s="37"/>
      <c r="W44" s="37"/>
      <c r="X44" s="38"/>
      <c r="Y44" s="36"/>
      <c r="Z44" s="37" t="s">
        <v>156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市场预测!M51</f>
        <v>3</v>
      </c>
      <c r="E45" s="41"/>
      <c r="F45" s="41"/>
      <c r="G45" s="42"/>
      <c r="H45" s="12" t="s">
        <v>131</v>
      </c>
      <c r="I45" s="12"/>
      <c r="J45" s="43">
        <v>8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10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1.25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79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21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3</v>
      </c>
      <c r="D50" s="28"/>
      <c r="E50" s="29"/>
      <c r="F50" s="23"/>
      <c r="G50" s="19"/>
      <c r="H50" s="20" t="s">
        <v>123</v>
      </c>
      <c r="I50" s="27">
        <f ca="1">IF(D68&gt;=2,RANDBETWEEN(D69,J69),0)</f>
        <v>3</v>
      </c>
      <c r="J50" s="28"/>
      <c r="K50" s="29"/>
      <c r="L50" s="23"/>
      <c r="M50" s="19"/>
      <c r="N50" s="20" t="s">
        <v>123</v>
      </c>
      <c r="O50" s="27">
        <f ca="1">IF(D68&gt;=3,RANDBETWEEN(D69,J69),0)</f>
        <v>3</v>
      </c>
      <c r="P50" s="28"/>
      <c r="Q50" s="29"/>
      <c r="R50" s="23"/>
      <c r="S50" s="19"/>
      <c r="T50" s="20" t="s">
        <v>123</v>
      </c>
      <c r="U50" s="27">
        <f ca="1">IF(D68&gt;=4,RANDBETWEEN(D69,J69),0)</f>
        <v>2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10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10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10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10.5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3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4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2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156</v>
      </c>
      <c r="C53" s="31"/>
      <c r="D53" s="31"/>
      <c r="E53" s="31"/>
      <c r="F53" s="32"/>
      <c r="G53" s="19"/>
      <c r="H53" s="31" t="s">
        <v>156</v>
      </c>
      <c r="I53" s="31"/>
      <c r="J53" s="31"/>
      <c r="K53" s="31"/>
      <c r="L53" s="32"/>
      <c r="M53" s="19"/>
      <c r="N53" s="31" t="s">
        <v>156</v>
      </c>
      <c r="O53" s="31"/>
      <c r="P53" s="31"/>
      <c r="Q53" s="31"/>
      <c r="R53" s="32"/>
      <c r="S53" s="19"/>
      <c r="T53" s="31" t="s">
        <v>156</v>
      </c>
      <c r="U53" s="31"/>
      <c r="V53" s="31"/>
      <c r="W53" s="31"/>
      <c r="X53" s="32"/>
      <c r="Y53" s="19"/>
      <c r="Z53" s="31" t="s">
        <v>156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156</v>
      </c>
      <c r="C60" s="31"/>
      <c r="D60" s="31"/>
      <c r="E60" s="31"/>
      <c r="F60" s="32"/>
      <c r="G60" s="19"/>
      <c r="H60" s="31" t="s">
        <v>156</v>
      </c>
      <c r="I60" s="31"/>
      <c r="J60" s="31"/>
      <c r="K60" s="31"/>
      <c r="L60" s="32"/>
      <c r="M60" s="19"/>
      <c r="N60" s="31" t="s">
        <v>156</v>
      </c>
      <c r="O60" s="31"/>
      <c r="P60" s="31"/>
      <c r="Q60" s="31"/>
      <c r="R60" s="32"/>
      <c r="S60" s="19"/>
      <c r="T60" s="31" t="s">
        <v>156</v>
      </c>
      <c r="U60" s="31"/>
      <c r="V60" s="31"/>
      <c r="W60" s="31"/>
      <c r="X60" s="32"/>
      <c r="Y60" s="19"/>
      <c r="Z60" s="31" t="s">
        <v>156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156</v>
      </c>
      <c r="C67" s="37"/>
      <c r="D67" s="37"/>
      <c r="E67" s="37"/>
      <c r="F67" s="38"/>
      <c r="G67" s="36"/>
      <c r="H67" s="37" t="s">
        <v>156</v>
      </c>
      <c r="I67" s="37"/>
      <c r="J67" s="37"/>
      <c r="K67" s="37"/>
      <c r="L67" s="38"/>
      <c r="M67" s="36"/>
      <c r="N67" s="37" t="s">
        <v>156</v>
      </c>
      <c r="O67" s="37"/>
      <c r="P67" s="37"/>
      <c r="Q67" s="37"/>
      <c r="R67" s="38"/>
      <c r="S67" s="36"/>
      <c r="T67" s="37" t="s">
        <v>156</v>
      </c>
      <c r="U67" s="37"/>
      <c r="V67" s="37"/>
      <c r="W67" s="37"/>
      <c r="X67" s="38"/>
      <c r="Y67" s="36"/>
      <c r="Z67" s="37" t="s">
        <v>156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市场预测!N51</f>
        <v>4</v>
      </c>
      <c r="E68" s="41"/>
      <c r="F68" s="41"/>
      <c r="G68" s="42"/>
      <c r="H68" s="12" t="s">
        <v>131</v>
      </c>
      <c r="I68" s="12"/>
      <c r="J68" s="43">
        <v>10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11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1.375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111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39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51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27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3</v>
      </c>
      <c r="D73" s="28"/>
      <c r="E73" s="29"/>
      <c r="F73" s="23"/>
      <c r="G73" s="19"/>
      <c r="H73" s="20" t="s">
        <v>123</v>
      </c>
      <c r="I73" s="27">
        <f ca="1">IF(D91&gt;=2,RANDBETWEEN(D92,J92),0)</f>
        <v>4</v>
      </c>
      <c r="J73" s="28"/>
      <c r="K73" s="29"/>
      <c r="L73" s="23"/>
      <c r="M73" s="19"/>
      <c r="N73" s="20" t="s">
        <v>123</v>
      </c>
      <c r="O73" s="27">
        <f ca="1">IF(D91&gt;=3,RANDBETWEEN(D92,J92),0)</f>
        <v>2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13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12.75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13.5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3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3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4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156</v>
      </c>
      <c r="C76" s="31"/>
      <c r="D76" s="31"/>
      <c r="E76" s="31"/>
      <c r="F76" s="32"/>
      <c r="G76" s="19"/>
      <c r="H76" s="31" t="s">
        <v>156</v>
      </c>
      <c r="I76" s="31"/>
      <c r="J76" s="31"/>
      <c r="K76" s="31"/>
      <c r="L76" s="32"/>
      <c r="M76" s="19"/>
      <c r="N76" s="31" t="s">
        <v>156</v>
      </c>
      <c r="O76" s="31"/>
      <c r="P76" s="31"/>
      <c r="Q76" s="31"/>
      <c r="R76" s="32"/>
      <c r="S76" s="19"/>
      <c r="T76" s="31" t="s">
        <v>156</v>
      </c>
      <c r="U76" s="31"/>
      <c r="V76" s="31"/>
      <c r="W76" s="31"/>
      <c r="X76" s="32"/>
      <c r="Y76" s="19"/>
      <c r="Z76" s="31" t="s">
        <v>156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156</v>
      </c>
      <c r="C83" s="31"/>
      <c r="D83" s="31"/>
      <c r="E83" s="31"/>
      <c r="F83" s="32"/>
      <c r="G83" s="19"/>
      <c r="H83" s="31" t="s">
        <v>156</v>
      </c>
      <c r="I83" s="31"/>
      <c r="J83" s="31"/>
      <c r="K83" s="31"/>
      <c r="L83" s="32"/>
      <c r="M83" s="19"/>
      <c r="N83" s="31" t="s">
        <v>156</v>
      </c>
      <c r="O83" s="31"/>
      <c r="P83" s="31"/>
      <c r="Q83" s="31"/>
      <c r="R83" s="32"/>
      <c r="S83" s="19"/>
      <c r="T83" s="31" t="s">
        <v>156</v>
      </c>
      <c r="U83" s="31"/>
      <c r="V83" s="31"/>
      <c r="W83" s="31"/>
      <c r="X83" s="32"/>
      <c r="Y83" s="19"/>
      <c r="Z83" s="31" t="s">
        <v>156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156</v>
      </c>
      <c r="C90" s="37"/>
      <c r="D90" s="37"/>
      <c r="E90" s="37"/>
      <c r="F90" s="38"/>
      <c r="G90" s="36"/>
      <c r="H90" s="37" t="s">
        <v>156</v>
      </c>
      <c r="I90" s="37"/>
      <c r="J90" s="37"/>
      <c r="K90" s="37"/>
      <c r="L90" s="38"/>
      <c r="M90" s="36"/>
      <c r="N90" s="37" t="s">
        <v>156</v>
      </c>
      <c r="O90" s="37"/>
      <c r="P90" s="37"/>
      <c r="Q90" s="37"/>
      <c r="R90" s="38"/>
      <c r="S90" s="36"/>
      <c r="T90" s="37" t="s">
        <v>156</v>
      </c>
      <c r="U90" s="37"/>
      <c r="V90" s="37"/>
      <c r="W90" s="37"/>
      <c r="X90" s="38"/>
      <c r="Y90" s="36"/>
      <c r="Z90" s="37" t="s">
        <v>156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市场预测!O51</f>
        <v>3</v>
      </c>
      <c r="E91" s="41"/>
      <c r="F91" s="41"/>
      <c r="G91" s="42"/>
      <c r="H91" s="12" t="s">
        <v>131</v>
      </c>
      <c r="I91" s="12"/>
      <c r="J91" s="43">
        <v>13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9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1.125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117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AX92"/>
  <sheetViews>
    <sheetView view="pageBreakPreview" zoomScale="55" zoomScaleNormal="85" topLeftCell="A77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15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'5年本地'!AN3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3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'5年本地'!AN4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'5年本地'!AN5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'5年本地'!AN6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157</v>
      </c>
      <c r="C7" s="31"/>
      <c r="D7" s="31"/>
      <c r="E7" s="31"/>
      <c r="F7" s="32"/>
      <c r="G7" s="19"/>
      <c r="H7" s="31" t="s">
        <v>157</v>
      </c>
      <c r="I7" s="31"/>
      <c r="J7" s="31"/>
      <c r="K7" s="31"/>
      <c r="L7" s="32"/>
      <c r="M7" s="19"/>
      <c r="N7" s="31" t="s">
        <v>157</v>
      </c>
      <c r="O7" s="31"/>
      <c r="P7" s="31"/>
      <c r="Q7" s="31"/>
      <c r="R7" s="32"/>
      <c r="S7" s="19"/>
      <c r="T7" s="31" t="s">
        <v>157</v>
      </c>
      <c r="U7" s="31"/>
      <c r="V7" s="31"/>
      <c r="W7" s="31"/>
      <c r="X7" s="32"/>
      <c r="Y7" s="19"/>
      <c r="Z7" s="31" t="s">
        <v>157</v>
      </c>
      <c r="AA7" s="31"/>
      <c r="AB7" s="31"/>
      <c r="AC7" s="31"/>
      <c r="AD7" s="32"/>
      <c r="AE7" s="33"/>
      <c r="AF7" s="15"/>
      <c r="AG7" s="8" t="s">
        <v>55</v>
      </c>
      <c r="AH7" s="24">
        <f>'5年本地'!AN7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'5年本地'!AN8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'5年本地'!AN9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'5年本地'!AN10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'5年本地'!AN11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'5年本地'!AN12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'5年本地'!AN13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157</v>
      </c>
      <c r="C14" s="31"/>
      <c r="D14" s="31"/>
      <c r="E14" s="31"/>
      <c r="F14" s="32"/>
      <c r="G14" s="19"/>
      <c r="H14" s="31" t="s">
        <v>157</v>
      </c>
      <c r="I14" s="31"/>
      <c r="J14" s="31"/>
      <c r="K14" s="31"/>
      <c r="L14" s="32"/>
      <c r="M14" s="19"/>
      <c r="N14" s="31" t="s">
        <v>157</v>
      </c>
      <c r="O14" s="31"/>
      <c r="P14" s="31"/>
      <c r="Q14" s="31"/>
      <c r="R14" s="32"/>
      <c r="S14" s="19"/>
      <c r="T14" s="31" t="s">
        <v>157</v>
      </c>
      <c r="U14" s="31"/>
      <c r="V14" s="31"/>
      <c r="W14" s="31"/>
      <c r="X14" s="32"/>
      <c r="Y14" s="19"/>
      <c r="Z14" s="31" t="s">
        <v>157</v>
      </c>
      <c r="AA14" s="31"/>
      <c r="AB14" s="31"/>
      <c r="AC14" s="31"/>
      <c r="AD14" s="32"/>
      <c r="AE14" s="33"/>
      <c r="AF14" s="15"/>
      <c r="AG14" s="8" t="s">
        <v>62</v>
      </c>
      <c r="AH14" s="24">
        <f>'5年本地'!AN14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'5年本地'!AN15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'5年本地'!AN16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'5年本地'!AN17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157</v>
      </c>
      <c r="C21" s="37"/>
      <c r="D21" s="37"/>
      <c r="E21" s="37"/>
      <c r="F21" s="38"/>
      <c r="G21" s="36"/>
      <c r="H21" s="37" t="s">
        <v>157</v>
      </c>
      <c r="I21" s="37"/>
      <c r="J21" s="37"/>
      <c r="K21" s="37"/>
      <c r="L21" s="38"/>
      <c r="M21" s="36"/>
      <c r="N21" s="37" t="s">
        <v>157</v>
      </c>
      <c r="O21" s="37"/>
      <c r="P21" s="37"/>
      <c r="Q21" s="37"/>
      <c r="R21" s="38"/>
      <c r="S21" s="36"/>
      <c r="T21" s="37" t="s">
        <v>157</v>
      </c>
      <c r="U21" s="37"/>
      <c r="V21" s="37"/>
      <c r="W21" s="37"/>
      <c r="X21" s="38"/>
      <c r="Y21" s="36"/>
      <c r="Z21" s="37" t="s">
        <v>157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市场预测!L22</f>
        <v>1</v>
      </c>
      <c r="E22" s="41"/>
      <c r="F22" s="41"/>
      <c r="G22" s="42"/>
      <c r="H22" s="12" t="s">
        <v>131</v>
      </c>
      <c r="I22" s="12"/>
      <c r="J22" s="43">
        <v>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3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0.375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15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18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23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13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4</v>
      </c>
      <c r="J27" s="28"/>
      <c r="K27" s="29"/>
      <c r="L27" s="23"/>
      <c r="M27" s="19"/>
      <c r="N27" s="20" t="s">
        <v>123</v>
      </c>
      <c r="O27" s="27">
        <f ca="1">IF(D45&gt;=3,RANDBETWEEN(D46,J46),0)</f>
        <v>2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5.75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6.5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2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3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2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157</v>
      </c>
      <c r="C30" s="31"/>
      <c r="D30" s="31"/>
      <c r="E30" s="31"/>
      <c r="F30" s="32"/>
      <c r="G30" s="19"/>
      <c r="H30" s="31" t="s">
        <v>157</v>
      </c>
      <c r="I30" s="31"/>
      <c r="J30" s="31"/>
      <c r="K30" s="31"/>
      <c r="L30" s="32"/>
      <c r="M30" s="19"/>
      <c r="N30" s="31" t="s">
        <v>157</v>
      </c>
      <c r="O30" s="31"/>
      <c r="P30" s="31"/>
      <c r="Q30" s="31"/>
      <c r="R30" s="32"/>
      <c r="S30" s="19"/>
      <c r="T30" s="31" t="s">
        <v>157</v>
      </c>
      <c r="U30" s="31"/>
      <c r="V30" s="31"/>
      <c r="W30" s="31"/>
      <c r="X30" s="32"/>
      <c r="Y30" s="19"/>
      <c r="Z30" s="31" t="s">
        <v>157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157</v>
      </c>
      <c r="C37" s="31"/>
      <c r="D37" s="31"/>
      <c r="E37" s="31"/>
      <c r="F37" s="32"/>
      <c r="G37" s="19"/>
      <c r="H37" s="31" t="s">
        <v>157</v>
      </c>
      <c r="I37" s="31"/>
      <c r="J37" s="31"/>
      <c r="K37" s="31"/>
      <c r="L37" s="32"/>
      <c r="M37" s="19"/>
      <c r="N37" s="31" t="s">
        <v>157</v>
      </c>
      <c r="O37" s="31"/>
      <c r="P37" s="31"/>
      <c r="Q37" s="31"/>
      <c r="R37" s="32"/>
      <c r="S37" s="19"/>
      <c r="T37" s="31" t="s">
        <v>157</v>
      </c>
      <c r="U37" s="31"/>
      <c r="V37" s="31"/>
      <c r="W37" s="31"/>
      <c r="X37" s="32"/>
      <c r="Y37" s="19"/>
      <c r="Z37" s="31" t="s">
        <v>157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157</v>
      </c>
      <c r="C44" s="37"/>
      <c r="D44" s="37"/>
      <c r="E44" s="37"/>
      <c r="F44" s="38"/>
      <c r="G44" s="36"/>
      <c r="H44" s="37" t="s">
        <v>157</v>
      </c>
      <c r="I44" s="37"/>
      <c r="J44" s="37"/>
      <c r="K44" s="37"/>
      <c r="L44" s="38"/>
      <c r="M44" s="36"/>
      <c r="N44" s="37" t="s">
        <v>157</v>
      </c>
      <c r="O44" s="37"/>
      <c r="P44" s="37"/>
      <c r="Q44" s="37"/>
      <c r="R44" s="38"/>
      <c r="S44" s="36"/>
      <c r="T44" s="37" t="s">
        <v>157</v>
      </c>
      <c r="U44" s="37"/>
      <c r="V44" s="37"/>
      <c r="W44" s="37"/>
      <c r="X44" s="38"/>
      <c r="Y44" s="36"/>
      <c r="Z44" s="37" t="s">
        <v>157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市场预测!M22</f>
        <v>3</v>
      </c>
      <c r="E45" s="41"/>
      <c r="F45" s="41"/>
      <c r="G45" s="42"/>
      <c r="H45" s="12" t="s">
        <v>131</v>
      </c>
      <c r="I45" s="12"/>
      <c r="J45" s="43">
        <v>6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9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1.125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54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24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31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24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31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3</v>
      </c>
      <c r="D50" s="28"/>
      <c r="E50" s="29"/>
      <c r="F50" s="23"/>
      <c r="G50" s="19"/>
      <c r="H50" s="20" t="s">
        <v>123</v>
      </c>
      <c r="I50" s="27">
        <f ca="1">IF(D68&gt;=2,RANDBETWEEN(D69,J69),0)</f>
        <v>4</v>
      </c>
      <c r="J50" s="28"/>
      <c r="K50" s="29"/>
      <c r="L50" s="23"/>
      <c r="M50" s="19"/>
      <c r="N50" s="20" t="s">
        <v>123</v>
      </c>
      <c r="O50" s="27">
        <f ca="1">IF(D68&gt;=3,RANDBETWEEN(D69,J69),0)</f>
        <v>3</v>
      </c>
      <c r="P50" s="28"/>
      <c r="Q50" s="29"/>
      <c r="R50" s="23"/>
      <c r="S50" s="19"/>
      <c r="T50" s="20" t="s">
        <v>123</v>
      </c>
      <c r="U50" s="27">
        <f ca="1">IF(D68&gt;=4,RANDBETWEEN(D69,J69),0)</f>
        <v>4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7.75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8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7.75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4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4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4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157</v>
      </c>
      <c r="C53" s="31"/>
      <c r="D53" s="31"/>
      <c r="E53" s="31"/>
      <c r="F53" s="32"/>
      <c r="G53" s="19"/>
      <c r="H53" s="31" t="s">
        <v>157</v>
      </c>
      <c r="I53" s="31"/>
      <c r="J53" s="31"/>
      <c r="K53" s="31"/>
      <c r="L53" s="32"/>
      <c r="M53" s="19"/>
      <c r="N53" s="31" t="s">
        <v>157</v>
      </c>
      <c r="O53" s="31"/>
      <c r="P53" s="31"/>
      <c r="Q53" s="31"/>
      <c r="R53" s="32"/>
      <c r="S53" s="19"/>
      <c r="T53" s="31" t="s">
        <v>157</v>
      </c>
      <c r="U53" s="31"/>
      <c r="V53" s="31"/>
      <c r="W53" s="31"/>
      <c r="X53" s="32"/>
      <c r="Y53" s="19"/>
      <c r="Z53" s="31" t="s">
        <v>157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157</v>
      </c>
      <c r="C60" s="31"/>
      <c r="D60" s="31"/>
      <c r="E60" s="31"/>
      <c r="F60" s="32"/>
      <c r="G60" s="19"/>
      <c r="H60" s="31" t="s">
        <v>157</v>
      </c>
      <c r="I60" s="31"/>
      <c r="J60" s="31"/>
      <c r="K60" s="31"/>
      <c r="L60" s="32"/>
      <c r="M60" s="19"/>
      <c r="N60" s="31" t="s">
        <v>157</v>
      </c>
      <c r="O60" s="31"/>
      <c r="P60" s="31"/>
      <c r="Q60" s="31"/>
      <c r="R60" s="32"/>
      <c r="S60" s="19"/>
      <c r="T60" s="31" t="s">
        <v>157</v>
      </c>
      <c r="U60" s="31"/>
      <c r="V60" s="31"/>
      <c r="W60" s="31"/>
      <c r="X60" s="32"/>
      <c r="Y60" s="19"/>
      <c r="Z60" s="31" t="s">
        <v>157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157</v>
      </c>
      <c r="C67" s="37"/>
      <c r="D67" s="37"/>
      <c r="E67" s="37"/>
      <c r="F67" s="38"/>
      <c r="G67" s="36"/>
      <c r="H67" s="37" t="s">
        <v>157</v>
      </c>
      <c r="I67" s="37"/>
      <c r="J67" s="37"/>
      <c r="K67" s="37"/>
      <c r="L67" s="38"/>
      <c r="M67" s="36"/>
      <c r="N67" s="37" t="s">
        <v>157</v>
      </c>
      <c r="O67" s="37"/>
      <c r="P67" s="37"/>
      <c r="Q67" s="37"/>
      <c r="R67" s="38"/>
      <c r="S67" s="36"/>
      <c r="T67" s="37" t="s">
        <v>157</v>
      </c>
      <c r="U67" s="37"/>
      <c r="V67" s="37"/>
      <c r="W67" s="37"/>
      <c r="X67" s="38"/>
      <c r="Y67" s="36"/>
      <c r="Z67" s="37" t="s">
        <v>157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市场预测!N22</f>
        <v>4</v>
      </c>
      <c r="E68" s="41"/>
      <c r="F68" s="41"/>
      <c r="G68" s="42"/>
      <c r="H68" s="12" t="s">
        <v>131</v>
      </c>
      <c r="I68" s="12"/>
      <c r="J68" s="43">
        <v>8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14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110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43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23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23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33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4</v>
      </c>
      <c r="D73" s="28"/>
      <c r="E73" s="29"/>
      <c r="F73" s="23"/>
      <c r="G73" s="19"/>
      <c r="H73" s="20" t="s">
        <v>123</v>
      </c>
      <c r="I73" s="27">
        <f ca="1">IF(D91&gt;=2,RANDBETWEEN(D92,J92),0)</f>
        <v>2</v>
      </c>
      <c r="J73" s="28"/>
      <c r="K73" s="29"/>
      <c r="L73" s="23"/>
      <c r="M73" s="19"/>
      <c r="N73" s="20" t="s">
        <v>123</v>
      </c>
      <c r="O73" s="27">
        <f ca="1">IF(D91&gt;=3,RANDBETWEEN(D92,J92),0)</f>
        <v>2</v>
      </c>
      <c r="P73" s="28"/>
      <c r="Q73" s="29"/>
      <c r="R73" s="23"/>
      <c r="S73" s="19"/>
      <c r="T73" s="20" t="s">
        <v>123</v>
      </c>
      <c r="U73" s="27">
        <f ca="1">IF(D91&gt;=4,RANDBETWEEN(D92,J92),0)</f>
        <v>3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10.75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11.5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11.5</v>
      </c>
      <c r="P74" s="22" t="s">
        <v>121</v>
      </c>
      <c r="Q74" s="22"/>
      <c r="R74" s="23"/>
      <c r="S74" s="19"/>
      <c r="T74" s="20" t="s">
        <v>124</v>
      </c>
      <c r="U74" s="30">
        <f ca="1">U72/U73</f>
        <v>11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4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2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4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4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157</v>
      </c>
      <c r="C76" s="31"/>
      <c r="D76" s="31"/>
      <c r="E76" s="31"/>
      <c r="F76" s="32"/>
      <c r="G76" s="19"/>
      <c r="H76" s="31" t="s">
        <v>157</v>
      </c>
      <c r="I76" s="31"/>
      <c r="J76" s="31"/>
      <c r="K76" s="31"/>
      <c r="L76" s="32"/>
      <c r="M76" s="19"/>
      <c r="N76" s="31" t="s">
        <v>157</v>
      </c>
      <c r="O76" s="31"/>
      <c r="P76" s="31"/>
      <c r="Q76" s="31"/>
      <c r="R76" s="32"/>
      <c r="S76" s="19"/>
      <c r="T76" s="31" t="s">
        <v>157</v>
      </c>
      <c r="U76" s="31"/>
      <c r="V76" s="31"/>
      <c r="W76" s="31"/>
      <c r="X76" s="32"/>
      <c r="Y76" s="19"/>
      <c r="Z76" s="31" t="s">
        <v>157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157</v>
      </c>
      <c r="C83" s="31"/>
      <c r="D83" s="31"/>
      <c r="E83" s="31"/>
      <c r="F83" s="32"/>
      <c r="G83" s="19"/>
      <c r="H83" s="31" t="s">
        <v>157</v>
      </c>
      <c r="I83" s="31"/>
      <c r="J83" s="31"/>
      <c r="K83" s="31"/>
      <c r="L83" s="32"/>
      <c r="M83" s="19"/>
      <c r="N83" s="31" t="s">
        <v>157</v>
      </c>
      <c r="O83" s="31"/>
      <c r="P83" s="31"/>
      <c r="Q83" s="31"/>
      <c r="R83" s="32"/>
      <c r="S83" s="19"/>
      <c r="T83" s="31" t="s">
        <v>157</v>
      </c>
      <c r="U83" s="31"/>
      <c r="V83" s="31"/>
      <c r="W83" s="31"/>
      <c r="X83" s="32"/>
      <c r="Y83" s="19"/>
      <c r="Z83" s="31" t="s">
        <v>157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157</v>
      </c>
      <c r="C90" s="37"/>
      <c r="D90" s="37"/>
      <c r="E90" s="37"/>
      <c r="F90" s="38"/>
      <c r="G90" s="36"/>
      <c r="H90" s="37" t="s">
        <v>157</v>
      </c>
      <c r="I90" s="37"/>
      <c r="J90" s="37"/>
      <c r="K90" s="37"/>
      <c r="L90" s="38"/>
      <c r="M90" s="36"/>
      <c r="N90" s="37" t="s">
        <v>157</v>
      </c>
      <c r="O90" s="37"/>
      <c r="P90" s="37"/>
      <c r="Q90" s="37"/>
      <c r="R90" s="38"/>
      <c r="S90" s="36"/>
      <c r="T90" s="37" t="s">
        <v>157</v>
      </c>
      <c r="U90" s="37"/>
      <c r="V90" s="37"/>
      <c r="W90" s="37"/>
      <c r="X90" s="38"/>
      <c r="Y90" s="36"/>
      <c r="Z90" s="37" t="s">
        <v>157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市场预测!O22</f>
        <v>4</v>
      </c>
      <c r="E91" s="41"/>
      <c r="F91" s="41"/>
      <c r="G91" s="42"/>
      <c r="H91" s="12" t="s">
        <v>131</v>
      </c>
      <c r="I91" s="12"/>
      <c r="J91" s="43">
        <v>11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11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1.375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122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AX92"/>
  <sheetViews>
    <sheetView view="pageBreakPreview" zoomScale="55" zoomScaleNormal="85" topLeftCell="A63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12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'5年区域'!AN3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2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'5年区域'!AN4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6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'5年区域'!AN5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3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'5年区域'!AN6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158</v>
      </c>
      <c r="C7" s="31"/>
      <c r="D7" s="31"/>
      <c r="E7" s="31"/>
      <c r="F7" s="32"/>
      <c r="G7" s="19"/>
      <c r="H7" s="31" t="s">
        <v>158</v>
      </c>
      <c r="I7" s="31"/>
      <c r="J7" s="31"/>
      <c r="K7" s="31"/>
      <c r="L7" s="32"/>
      <c r="M7" s="19"/>
      <c r="N7" s="31" t="s">
        <v>158</v>
      </c>
      <c r="O7" s="31"/>
      <c r="P7" s="31"/>
      <c r="Q7" s="31"/>
      <c r="R7" s="32"/>
      <c r="S7" s="19"/>
      <c r="T7" s="31" t="s">
        <v>158</v>
      </c>
      <c r="U7" s="31"/>
      <c r="V7" s="31"/>
      <c r="W7" s="31"/>
      <c r="X7" s="32"/>
      <c r="Y7" s="19"/>
      <c r="Z7" s="31" t="s">
        <v>158</v>
      </c>
      <c r="AA7" s="31"/>
      <c r="AB7" s="31"/>
      <c r="AC7" s="31"/>
      <c r="AD7" s="32"/>
      <c r="AE7" s="33"/>
      <c r="AF7" s="15"/>
      <c r="AG7" s="8" t="s">
        <v>55</v>
      </c>
      <c r="AH7" s="24">
        <f>'5年区域'!AN7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'5年区域'!AN8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'5年区域'!AN9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'5年区域'!AN10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'5年区域'!AN11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'5年区域'!AN12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'5年区域'!AN13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158</v>
      </c>
      <c r="C14" s="31"/>
      <c r="D14" s="31"/>
      <c r="E14" s="31"/>
      <c r="F14" s="32"/>
      <c r="G14" s="19"/>
      <c r="H14" s="31" t="s">
        <v>158</v>
      </c>
      <c r="I14" s="31"/>
      <c r="J14" s="31"/>
      <c r="K14" s="31"/>
      <c r="L14" s="32"/>
      <c r="M14" s="19"/>
      <c r="N14" s="31" t="s">
        <v>158</v>
      </c>
      <c r="O14" s="31"/>
      <c r="P14" s="31"/>
      <c r="Q14" s="31"/>
      <c r="R14" s="32"/>
      <c r="S14" s="19"/>
      <c r="T14" s="31" t="s">
        <v>158</v>
      </c>
      <c r="U14" s="31"/>
      <c r="V14" s="31"/>
      <c r="W14" s="31"/>
      <c r="X14" s="32"/>
      <c r="Y14" s="19"/>
      <c r="Z14" s="31" t="s">
        <v>158</v>
      </c>
      <c r="AA14" s="31"/>
      <c r="AB14" s="31"/>
      <c r="AC14" s="31"/>
      <c r="AD14" s="32"/>
      <c r="AE14" s="33"/>
      <c r="AF14" s="15"/>
      <c r="AG14" s="8" t="s">
        <v>62</v>
      </c>
      <c r="AH14" s="24">
        <f>'5年区域'!AN14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'5年区域'!AN15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'5年区域'!AN16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'5年区域'!AN17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158</v>
      </c>
      <c r="C21" s="37"/>
      <c r="D21" s="37"/>
      <c r="E21" s="37"/>
      <c r="F21" s="38"/>
      <c r="G21" s="36"/>
      <c r="H21" s="37" t="s">
        <v>158</v>
      </c>
      <c r="I21" s="37"/>
      <c r="J21" s="37"/>
      <c r="K21" s="37"/>
      <c r="L21" s="38"/>
      <c r="M21" s="36"/>
      <c r="N21" s="37" t="s">
        <v>158</v>
      </c>
      <c r="O21" s="37"/>
      <c r="P21" s="37"/>
      <c r="Q21" s="37"/>
      <c r="R21" s="38"/>
      <c r="S21" s="36"/>
      <c r="T21" s="37" t="s">
        <v>158</v>
      </c>
      <c r="U21" s="37"/>
      <c r="V21" s="37"/>
      <c r="W21" s="37"/>
      <c r="X21" s="38"/>
      <c r="Y21" s="36"/>
      <c r="Z21" s="37" t="s">
        <v>158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市场预测!L32</f>
        <v>1</v>
      </c>
      <c r="E22" s="41"/>
      <c r="F22" s="41"/>
      <c r="G22" s="42"/>
      <c r="H22" s="12" t="s">
        <v>131</v>
      </c>
      <c r="I22" s="12"/>
      <c r="J22" s="43">
        <v>5.5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2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0.25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12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14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25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14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2</v>
      </c>
      <c r="D27" s="28"/>
      <c r="E27" s="29"/>
      <c r="F27" s="23"/>
      <c r="G27" s="19"/>
      <c r="H27" s="20" t="s">
        <v>123</v>
      </c>
      <c r="I27" s="27">
        <f ca="1">IF(D45&gt;=2,RANDBETWEEN(D46,J46),0)</f>
        <v>4</v>
      </c>
      <c r="J27" s="28"/>
      <c r="K27" s="29"/>
      <c r="L27" s="23"/>
      <c r="M27" s="19"/>
      <c r="N27" s="20" t="s">
        <v>123</v>
      </c>
      <c r="O27" s="27">
        <f ca="1">IF(D45&gt;=3,RANDBETWEEN(D46,J46),0)</f>
        <v>2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7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6.25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7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2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2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3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158</v>
      </c>
      <c r="C30" s="31"/>
      <c r="D30" s="31"/>
      <c r="E30" s="31"/>
      <c r="F30" s="32"/>
      <c r="G30" s="19"/>
      <c r="H30" s="31" t="s">
        <v>158</v>
      </c>
      <c r="I30" s="31"/>
      <c r="J30" s="31"/>
      <c r="K30" s="31"/>
      <c r="L30" s="32"/>
      <c r="M30" s="19"/>
      <c r="N30" s="31" t="s">
        <v>158</v>
      </c>
      <c r="O30" s="31"/>
      <c r="P30" s="31"/>
      <c r="Q30" s="31"/>
      <c r="R30" s="32"/>
      <c r="S30" s="19"/>
      <c r="T30" s="31" t="s">
        <v>158</v>
      </c>
      <c r="U30" s="31"/>
      <c r="V30" s="31"/>
      <c r="W30" s="31"/>
      <c r="X30" s="32"/>
      <c r="Y30" s="19"/>
      <c r="Z30" s="31" t="s">
        <v>158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158</v>
      </c>
      <c r="C37" s="31"/>
      <c r="D37" s="31"/>
      <c r="E37" s="31"/>
      <c r="F37" s="32"/>
      <c r="G37" s="19"/>
      <c r="H37" s="31" t="s">
        <v>158</v>
      </c>
      <c r="I37" s="31"/>
      <c r="J37" s="31"/>
      <c r="K37" s="31"/>
      <c r="L37" s="32"/>
      <c r="M37" s="19"/>
      <c r="N37" s="31" t="s">
        <v>158</v>
      </c>
      <c r="O37" s="31"/>
      <c r="P37" s="31"/>
      <c r="Q37" s="31"/>
      <c r="R37" s="32"/>
      <c r="S37" s="19"/>
      <c r="T37" s="31" t="s">
        <v>158</v>
      </c>
      <c r="U37" s="31"/>
      <c r="V37" s="31"/>
      <c r="W37" s="31"/>
      <c r="X37" s="32"/>
      <c r="Y37" s="19"/>
      <c r="Z37" s="31" t="s">
        <v>158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158</v>
      </c>
      <c r="C44" s="37"/>
      <c r="D44" s="37"/>
      <c r="E44" s="37"/>
      <c r="F44" s="38"/>
      <c r="G44" s="36"/>
      <c r="H44" s="37" t="s">
        <v>158</v>
      </c>
      <c r="I44" s="37"/>
      <c r="J44" s="37"/>
      <c r="K44" s="37"/>
      <c r="L44" s="38"/>
      <c r="M44" s="36"/>
      <c r="N44" s="37" t="s">
        <v>158</v>
      </c>
      <c r="O44" s="37"/>
      <c r="P44" s="37"/>
      <c r="Q44" s="37"/>
      <c r="R44" s="38"/>
      <c r="S44" s="36"/>
      <c r="T44" s="37" t="s">
        <v>158</v>
      </c>
      <c r="U44" s="37"/>
      <c r="V44" s="37"/>
      <c r="W44" s="37"/>
      <c r="X44" s="38"/>
      <c r="Y44" s="36"/>
      <c r="Z44" s="37" t="s">
        <v>158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市场预测!M32</f>
        <v>3</v>
      </c>
      <c r="E45" s="41"/>
      <c r="F45" s="41"/>
      <c r="G45" s="42"/>
      <c r="H45" s="12" t="s">
        <v>131</v>
      </c>
      <c r="I45" s="12"/>
      <c r="J45" s="43">
        <v>6.5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8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53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33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25.5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33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18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4</v>
      </c>
      <c r="D50" s="28"/>
      <c r="E50" s="29"/>
      <c r="F50" s="23"/>
      <c r="G50" s="19"/>
      <c r="H50" s="20" t="s">
        <v>123</v>
      </c>
      <c r="I50" s="27">
        <f ca="1">IF(D68&gt;=2,RANDBETWEEN(D69,J69),0)</f>
        <v>3</v>
      </c>
      <c r="J50" s="28"/>
      <c r="K50" s="29"/>
      <c r="L50" s="23"/>
      <c r="M50" s="19"/>
      <c r="N50" s="20" t="s">
        <v>123</v>
      </c>
      <c r="O50" s="27">
        <f ca="1">IF(D68&gt;=3,RANDBETWEEN(D69,J69),0)</f>
        <v>4</v>
      </c>
      <c r="P50" s="28"/>
      <c r="Q50" s="29"/>
      <c r="R50" s="23"/>
      <c r="S50" s="19"/>
      <c r="T50" s="20" t="s">
        <v>123</v>
      </c>
      <c r="U50" s="27">
        <f ca="1">IF(D68&gt;=4,RANDBETWEEN(D69,J69),0)</f>
        <v>2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8.25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8.5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8.25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9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3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3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3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2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158</v>
      </c>
      <c r="C53" s="31"/>
      <c r="D53" s="31"/>
      <c r="E53" s="31"/>
      <c r="F53" s="32"/>
      <c r="G53" s="19"/>
      <c r="H53" s="31" t="s">
        <v>158</v>
      </c>
      <c r="I53" s="31"/>
      <c r="J53" s="31"/>
      <c r="K53" s="31"/>
      <c r="L53" s="32"/>
      <c r="M53" s="19"/>
      <c r="N53" s="31" t="s">
        <v>158</v>
      </c>
      <c r="O53" s="31"/>
      <c r="P53" s="31"/>
      <c r="Q53" s="31"/>
      <c r="R53" s="32"/>
      <c r="S53" s="19"/>
      <c r="T53" s="31" t="s">
        <v>158</v>
      </c>
      <c r="U53" s="31"/>
      <c r="V53" s="31"/>
      <c r="W53" s="31"/>
      <c r="X53" s="32"/>
      <c r="Y53" s="19"/>
      <c r="Z53" s="31" t="s">
        <v>158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158</v>
      </c>
      <c r="C60" s="31"/>
      <c r="D60" s="31"/>
      <c r="E60" s="31"/>
      <c r="F60" s="32"/>
      <c r="G60" s="19"/>
      <c r="H60" s="31" t="s">
        <v>158</v>
      </c>
      <c r="I60" s="31"/>
      <c r="J60" s="31"/>
      <c r="K60" s="31"/>
      <c r="L60" s="32"/>
      <c r="M60" s="19"/>
      <c r="N60" s="31" t="s">
        <v>158</v>
      </c>
      <c r="O60" s="31"/>
      <c r="P60" s="31"/>
      <c r="Q60" s="31"/>
      <c r="R60" s="32"/>
      <c r="S60" s="19"/>
      <c r="T60" s="31" t="s">
        <v>158</v>
      </c>
      <c r="U60" s="31"/>
      <c r="V60" s="31"/>
      <c r="W60" s="31"/>
      <c r="X60" s="32"/>
      <c r="Y60" s="19"/>
      <c r="Z60" s="31" t="s">
        <v>158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158</v>
      </c>
      <c r="C67" s="37"/>
      <c r="D67" s="37"/>
      <c r="E67" s="37"/>
      <c r="F67" s="38"/>
      <c r="G67" s="36"/>
      <c r="H67" s="37" t="s">
        <v>158</v>
      </c>
      <c r="I67" s="37"/>
      <c r="J67" s="37"/>
      <c r="K67" s="37"/>
      <c r="L67" s="38"/>
      <c r="M67" s="36"/>
      <c r="N67" s="37" t="s">
        <v>158</v>
      </c>
      <c r="O67" s="37"/>
      <c r="P67" s="37"/>
      <c r="Q67" s="37"/>
      <c r="R67" s="38"/>
      <c r="S67" s="36"/>
      <c r="T67" s="37" t="s">
        <v>158</v>
      </c>
      <c r="U67" s="37"/>
      <c r="V67" s="37"/>
      <c r="W67" s="37"/>
      <c r="X67" s="38"/>
      <c r="Y67" s="36"/>
      <c r="Z67" s="37" t="s">
        <v>158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市场预测!N32</f>
        <v>4</v>
      </c>
      <c r="E68" s="41"/>
      <c r="F68" s="41"/>
      <c r="G68" s="42"/>
      <c r="H68" s="12" t="s">
        <v>131</v>
      </c>
      <c r="I68" s="12"/>
      <c r="J68" s="43">
        <v>8.5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13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1.625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109.5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34.5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34.5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34.5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24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3</v>
      </c>
      <c r="D73" s="28"/>
      <c r="E73" s="29"/>
      <c r="F73" s="23"/>
      <c r="G73" s="19"/>
      <c r="H73" s="20" t="s">
        <v>123</v>
      </c>
      <c r="I73" s="27">
        <f ca="1">IF(D91&gt;=2,RANDBETWEEN(D92,J92),0)</f>
        <v>3</v>
      </c>
      <c r="J73" s="28"/>
      <c r="K73" s="29"/>
      <c r="L73" s="23"/>
      <c r="M73" s="19"/>
      <c r="N73" s="20" t="s">
        <v>123</v>
      </c>
      <c r="O73" s="27">
        <f ca="1">IF(D91&gt;=3,RANDBETWEEN(D92,J92),0)</f>
        <v>3</v>
      </c>
      <c r="P73" s="28"/>
      <c r="Q73" s="29"/>
      <c r="R73" s="23"/>
      <c r="S73" s="19"/>
      <c r="T73" s="20" t="s">
        <v>123</v>
      </c>
      <c r="U73" s="27">
        <f ca="1">IF(D91&gt;=4,RANDBETWEEN(D92,J92),0)</f>
        <v>2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11.5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11.5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11.5</v>
      </c>
      <c r="P74" s="22" t="s">
        <v>121</v>
      </c>
      <c r="Q74" s="22"/>
      <c r="R74" s="23"/>
      <c r="S74" s="19"/>
      <c r="T74" s="20" t="s">
        <v>124</v>
      </c>
      <c r="U74" s="30">
        <f ca="1">U72/U73</f>
        <v>12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3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2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2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2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158</v>
      </c>
      <c r="C76" s="31"/>
      <c r="D76" s="31"/>
      <c r="E76" s="31"/>
      <c r="F76" s="32"/>
      <c r="G76" s="19"/>
      <c r="H76" s="31" t="s">
        <v>158</v>
      </c>
      <c r="I76" s="31"/>
      <c r="J76" s="31"/>
      <c r="K76" s="31"/>
      <c r="L76" s="32"/>
      <c r="M76" s="19"/>
      <c r="N76" s="31" t="s">
        <v>158</v>
      </c>
      <c r="O76" s="31"/>
      <c r="P76" s="31"/>
      <c r="Q76" s="31"/>
      <c r="R76" s="32"/>
      <c r="S76" s="19"/>
      <c r="T76" s="31" t="s">
        <v>158</v>
      </c>
      <c r="U76" s="31"/>
      <c r="V76" s="31"/>
      <c r="W76" s="31"/>
      <c r="X76" s="32"/>
      <c r="Y76" s="19"/>
      <c r="Z76" s="31" t="s">
        <v>158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158</v>
      </c>
      <c r="C83" s="31"/>
      <c r="D83" s="31"/>
      <c r="E83" s="31"/>
      <c r="F83" s="32"/>
      <c r="G83" s="19"/>
      <c r="H83" s="31" t="s">
        <v>158</v>
      </c>
      <c r="I83" s="31"/>
      <c r="J83" s="31"/>
      <c r="K83" s="31"/>
      <c r="L83" s="32"/>
      <c r="M83" s="19"/>
      <c r="N83" s="31" t="s">
        <v>158</v>
      </c>
      <c r="O83" s="31"/>
      <c r="P83" s="31"/>
      <c r="Q83" s="31"/>
      <c r="R83" s="32"/>
      <c r="S83" s="19"/>
      <c r="T83" s="31" t="s">
        <v>158</v>
      </c>
      <c r="U83" s="31"/>
      <c r="V83" s="31"/>
      <c r="W83" s="31"/>
      <c r="X83" s="32"/>
      <c r="Y83" s="19"/>
      <c r="Z83" s="31" t="s">
        <v>158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158</v>
      </c>
      <c r="C90" s="37"/>
      <c r="D90" s="37"/>
      <c r="E90" s="37"/>
      <c r="F90" s="38"/>
      <c r="G90" s="36"/>
      <c r="H90" s="37" t="s">
        <v>158</v>
      </c>
      <c r="I90" s="37"/>
      <c r="J90" s="37"/>
      <c r="K90" s="37"/>
      <c r="L90" s="38"/>
      <c r="M90" s="36"/>
      <c r="N90" s="37" t="s">
        <v>158</v>
      </c>
      <c r="O90" s="37"/>
      <c r="P90" s="37"/>
      <c r="Q90" s="37"/>
      <c r="R90" s="38"/>
      <c r="S90" s="36"/>
      <c r="T90" s="37" t="s">
        <v>158</v>
      </c>
      <c r="U90" s="37"/>
      <c r="V90" s="37"/>
      <c r="W90" s="37"/>
      <c r="X90" s="38"/>
      <c r="Y90" s="36"/>
      <c r="Z90" s="37" t="s">
        <v>158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市场预测!O32</f>
        <v>4</v>
      </c>
      <c r="E91" s="41"/>
      <c r="F91" s="41"/>
      <c r="G91" s="42"/>
      <c r="H91" s="12" t="s">
        <v>131</v>
      </c>
      <c r="I91" s="12"/>
      <c r="J91" s="43">
        <v>11.5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11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1.375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127.5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AX92"/>
  <sheetViews>
    <sheetView view="pageBreakPreview" zoomScale="55" zoomScaleNormal="85" topLeftCell="A6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18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'5年全国'!AN3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3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'5年全国'!AN4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6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'5年全国'!AN5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'5年全国'!AN6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159</v>
      </c>
      <c r="C7" s="31"/>
      <c r="D7" s="31"/>
      <c r="E7" s="31"/>
      <c r="F7" s="32"/>
      <c r="G7" s="19"/>
      <c r="H7" s="31" t="s">
        <v>159</v>
      </c>
      <c r="I7" s="31"/>
      <c r="J7" s="31"/>
      <c r="K7" s="31"/>
      <c r="L7" s="32"/>
      <c r="M7" s="19"/>
      <c r="N7" s="31" t="s">
        <v>159</v>
      </c>
      <c r="O7" s="31"/>
      <c r="P7" s="31"/>
      <c r="Q7" s="31"/>
      <c r="R7" s="32"/>
      <c r="S7" s="19"/>
      <c r="T7" s="31" t="s">
        <v>159</v>
      </c>
      <c r="U7" s="31"/>
      <c r="V7" s="31"/>
      <c r="W7" s="31"/>
      <c r="X7" s="32"/>
      <c r="Y7" s="19"/>
      <c r="Z7" s="31" t="s">
        <v>159</v>
      </c>
      <c r="AA7" s="31"/>
      <c r="AB7" s="31"/>
      <c r="AC7" s="31"/>
      <c r="AD7" s="32"/>
      <c r="AE7" s="33"/>
      <c r="AF7" s="15"/>
      <c r="AG7" s="8" t="s">
        <v>55</v>
      </c>
      <c r="AH7" s="24">
        <f>'5年全国'!AN7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'5年全国'!AN8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'5年全国'!AN9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'5年全国'!AN10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'5年全国'!AN11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'5年全国'!AN12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'5年全国'!AN13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159</v>
      </c>
      <c r="C14" s="31"/>
      <c r="D14" s="31"/>
      <c r="E14" s="31"/>
      <c r="F14" s="32"/>
      <c r="G14" s="19"/>
      <c r="H14" s="31" t="s">
        <v>159</v>
      </c>
      <c r="I14" s="31"/>
      <c r="J14" s="31"/>
      <c r="K14" s="31"/>
      <c r="L14" s="32"/>
      <c r="M14" s="19"/>
      <c r="N14" s="31" t="s">
        <v>159</v>
      </c>
      <c r="O14" s="31"/>
      <c r="P14" s="31"/>
      <c r="Q14" s="31"/>
      <c r="R14" s="32"/>
      <c r="S14" s="19"/>
      <c r="T14" s="31" t="s">
        <v>159</v>
      </c>
      <c r="U14" s="31"/>
      <c r="V14" s="31"/>
      <c r="W14" s="31"/>
      <c r="X14" s="32"/>
      <c r="Y14" s="19"/>
      <c r="Z14" s="31" t="s">
        <v>159</v>
      </c>
      <c r="AA14" s="31"/>
      <c r="AB14" s="31"/>
      <c r="AC14" s="31"/>
      <c r="AD14" s="32"/>
      <c r="AE14" s="33"/>
      <c r="AF14" s="15"/>
      <c r="AG14" s="8" t="s">
        <v>62</v>
      </c>
      <c r="AH14" s="24">
        <f>'5年全国'!AN14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'5年全国'!AN15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'5年全国'!AN16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'5年全国'!AN17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159</v>
      </c>
      <c r="C21" s="37"/>
      <c r="D21" s="37"/>
      <c r="E21" s="37"/>
      <c r="F21" s="38"/>
      <c r="G21" s="36"/>
      <c r="H21" s="37" t="s">
        <v>159</v>
      </c>
      <c r="I21" s="37"/>
      <c r="J21" s="37"/>
      <c r="K21" s="37"/>
      <c r="L21" s="38"/>
      <c r="M21" s="36"/>
      <c r="N21" s="37" t="s">
        <v>159</v>
      </c>
      <c r="O21" s="37"/>
      <c r="P21" s="37"/>
      <c r="Q21" s="37"/>
      <c r="R21" s="38"/>
      <c r="S21" s="36"/>
      <c r="T21" s="37" t="s">
        <v>159</v>
      </c>
      <c r="U21" s="37"/>
      <c r="V21" s="37"/>
      <c r="W21" s="37"/>
      <c r="X21" s="38"/>
      <c r="Y21" s="36"/>
      <c r="Z21" s="37" t="s">
        <v>159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市场预测!L42</f>
        <v>1</v>
      </c>
      <c r="E22" s="41"/>
      <c r="F22" s="41"/>
      <c r="G22" s="42"/>
      <c r="H22" s="12" t="s">
        <v>131</v>
      </c>
      <c r="I22" s="12"/>
      <c r="J22" s="43">
        <v>6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3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0.375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18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21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15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15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2</v>
      </c>
      <c r="J27" s="28"/>
      <c r="K27" s="29"/>
      <c r="L27" s="23"/>
      <c r="M27" s="19"/>
      <c r="N27" s="20" t="s">
        <v>123</v>
      </c>
      <c r="O27" s="27">
        <f ca="1">IF(D45&gt;=3,RANDBETWEEN(D46,J46),0)</f>
        <v>2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7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7.5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7.5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2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3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4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159</v>
      </c>
      <c r="C30" s="31"/>
      <c r="D30" s="31"/>
      <c r="E30" s="31"/>
      <c r="F30" s="32"/>
      <c r="G30" s="19"/>
      <c r="H30" s="31" t="s">
        <v>159</v>
      </c>
      <c r="I30" s="31"/>
      <c r="J30" s="31"/>
      <c r="K30" s="31"/>
      <c r="L30" s="32"/>
      <c r="M30" s="19"/>
      <c r="N30" s="31" t="s">
        <v>159</v>
      </c>
      <c r="O30" s="31"/>
      <c r="P30" s="31"/>
      <c r="Q30" s="31"/>
      <c r="R30" s="32"/>
      <c r="S30" s="19"/>
      <c r="T30" s="31" t="s">
        <v>159</v>
      </c>
      <c r="U30" s="31"/>
      <c r="V30" s="31"/>
      <c r="W30" s="31"/>
      <c r="X30" s="32"/>
      <c r="Y30" s="19"/>
      <c r="Z30" s="31" t="s">
        <v>159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159</v>
      </c>
      <c r="C37" s="31"/>
      <c r="D37" s="31"/>
      <c r="E37" s="31"/>
      <c r="F37" s="32"/>
      <c r="G37" s="19"/>
      <c r="H37" s="31" t="s">
        <v>159</v>
      </c>
      <c r="I37" s="31"/>
      <c r="J37" s="31"/>
      <c r="K37" s="31"/>
      <c r="L37" s="32"/>
      <c r="M37" s="19"/>
      <c r="N37" s="31" t="s">
        <v>159</v>
      </c>
      <c r="O37" s="31"/>
      <c r="P37" s="31"/>
      <c r="Q37" s="31"/>
      <c r="R37" s="32"/>
      <c r="S37" s="19"/>
      <c r="T37" s="31" t="s">
        <v>159</v>
      </c>
      <c r="U37" s="31"/>
      <c r="V37" s="31"/>
      <c r="W37" s="31"/>
      <c r="X37" s="32"/>
      <c r="Y37" s="19"/>
      <c r="Z37" s="31" t="s">
        <v>159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159</v>
      </c>
      <c r="C44" s="37"/>
      <c r="D44" s="37"/>
      <c r="E44" s="37"/>
      <c r="F44" s="38"/>
      <c r="G44" s="36"/>
      <c r="H44" s="37" t="s">
        <v>159</v>
      </c>
      <c r="I44" s="37"/>
      <c r="J44" s="37"/>
      <c r="K44" s="37"/>
      <c r="L44" s="38"/>
      <c r="M44" s="36"/>
      <c r="N44" s="37" t="s">
        <v>159</v>
      </c>
      <c r="O44" s="37"/>
      <c r="P44" s="37"/>
      <c r="Q44" s="37"/>
      <c r="R44" s="38"/>
      <c r="S44" s="36"/>
      <c r="T44" s="37" t="s">
        <v>159</v>
      </c>
      <c r="U44" s="37"/>
      <c r="V44" s="37"/>
      <c r="W44" s="37"/>
      <c r="X44" s="38"/>
      <c r="Y44" s="36"/>
      <c r="Z44" s="37" t="s">
        <v>159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市场预测!M42</f>
        <v>3</v>
      </c>
      <c r="E45" s="41"/>
      <c r="F45" s="41"/>
      <c r="G45" s="42"/>
      <c r="H45" s="12" t="s">
        <v>131</v>
      </c>
      <c r="I45" s="12"/>
      <c r="J45" s="43">
        <v>7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7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0.875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51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27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19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27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27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3</v>
      </c>
      <c r="D50" s="28"/>
      <c r="E50" s="29"/>
      <c r="F50" s="23"/>
      <c r="G50" s="19"/>
      <c r="H50" s="20" t="s">
        <v>123</v>
      </c>
      <c r="I50" s="27">
        <f ca="1">IF(D68&gt;=2,RANDBETWEEN(D69,J69),0)</f>
        <v>2</v>
      </c>
      <c r="J50" s="28"/>
      <c r="K50" s="29"/>
      <c r="L50" s="23"/>
      <c r="M50" s="19"/>
      <c r="N50" s="20" t="s">
        <v>123</v>
      </c>
      <c r="O50" s="27">
        <f ca="1">IF(D68&gt;=3,RANDBETWEEN(D69,J69),0)</f>
        <v>3</v>
      </c>
      <c r="P50" s="28"/>
      <c r="Q50" s="29"/>
      <c r="R50" s="23"/>
      <c r="S50" s="19"/>
      <c r="T50" s="20" t="s">
        <v>123</v>
      </c>
      <c r="U50" s="27">
        <f ca="1">IF(D68&gt;=4,RANDBETWEEN(D69,J69),0)</f>
        <v>3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9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9.5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9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9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3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3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2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3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159</v>
      </c>
      <c r="C53" s="31"/>
      <c r="D53" s="31"/>
      <c r="E53" s="31"/>
      <c r="F53" s="32"/>
      <c r="G53" s="19"/>
      <c r="H53" s="31" t="s">
        <v>159</v>
      </c>
      <c r="I53" s="31"/>
      <c r="J53" s="31"/>
      <c r="K53" s="31"/>
      <c r="L53" s="32"/>
      <c r="M53" s="19"/>
      <c r="N53" s="31" t="s">
        <v>159</v>
      </c>
      <c r="O53" s="31"/>
      <c r="P53" s="31"/>
      <c r="Q53" s="31"/>
      <c r="R53" s="32"/>
      <c r="S53" s="19"/>
      <c r="T53" s="31" t="s">
        <v>159</v>
      </c>
      <c r="U53" s="31"/>
      <c r="V53" s="31"/>
      <c r="W53" s="31"/>
      <c r="X53" s="32"/>
      <c r="Y53" s="19"/>
      <c r="Z53" s="31" t="s">
        <v>159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159</v>
      </c>
      <c r="C60" s="31"/>
      <c r="D60" s="31"/>
      <c r="E60" s="31"/>
      <c r="F60" s="32"/>
      <c r="G60" s="19"/>
      <c r="H60" s="31" t="s">
        <v>159</v>
      </c>
      <c r="I60" s="31"/>
      <c r="J60" s="31"/>
      <c r="K60" s="31"/>
      <c r="L60" s="32"/>
      <c r="M60" s="19"/>
      <c r="N60" s="31" t="s">
        <v>159</v>
      </c>
      <c r="O60" s="31"/>
      <c r="P60" s="31"/>
      <c r="Q60" s="31"/>
      <c r="R60" s="32"/>
      <c r="S60" s="19"/>
      <c r="T60" s="31" t="s">
        <v>159</v>
      </c>
      <c r="U60" s="31"/>
      <c r="V60" s="31"/>
      <c r="W60" s="31"/>
      <c r="X60" s="32"/>
      <c r="Y60" s="19"/>
      <c r="Z60" s="31" t="s">
        <v>159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159</v>
      </c>
      <c r="C67" s="37"/>
      <c r="D67" s="37"/>
      <c r="E67" s="37"/>
      <c r="F67" s="38"/>
      <c r="G67" s="36"/>
      <c r="H67" s="37" t="s">
        <v>159</v>
      </c>
      <c r="I67" s="37"/>
      <c r="J67" s="37"/>
      <c r="K67" s="37"/>
      <c r="L67" s="38"/>
      <c r="M67" s="36"/>
      <c r="N67" s="37" t="s">
        <v>159</v>
      </c>
      <c r="O67" s="37"/>
      <c r="P67" s="37"/>
      <c r="Q67" s="37"/>
      <c r="R67" s="38"/>
      <c r="S67" s="36"/>
      <c r="T67" s="37" t="s">
        <v>159</v>
      </c>
      <c r="U67" s="37"/>
      <c r="V67" s="37"/>
      <c r="W67" s="37"/>
      <c r="X67" s="38"/>
      <c r="Y67" s="36"/>
      <c r="Z67" s="37" t="s">
        <v>159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市场预测!N42</f>
        <v>4</v>
      </c>
      <c r="E68" s="41"/>
      <c r="F68" s="41"/>
      <c r="G68" s="42"/>
      <c r="H68" s="12" t="s">
        <v>131</v>
      </c>
      <c r="I68" s="12"/>
      <c r="J68" s="43">
        <v>9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11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1.375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100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36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36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25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25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3</v>
      </c>
      <c r="D73" s="28"/>
      <c r="E73" s="29"/>
      <c r="F73" s="23"/>
      <c r="G73" s="19"/>
      <c r="H73" s="20" t="s">
        <v>123</v>
      </c>
      <c r="I73" s="27">
        <f ca="1">IF(D91&gt;=2,RANDBETWEEN(D92,J92),0)</f>
        <v>3</v>
      </c>
      <c r="J73" s="28"/>
      <c r="K73" s="29"/>
      <c r="L73" s="23"/>
      <c r="M73" s="19"/>
      <c r="N73" s="20" t="s">
        <v>123</v>
      </c>
      <c r="O73" s="27">
        <f ca="1">IF(D91&gt;=3,RANDBETWEEN(D92,J92),0)</f>
        <v>2</v>
      </c>
      <c r="P73" s="28"/>
      <c r="Q73" s="29"/>
      <c r="R73" s="23"/>
      <c r="S73" s="19"/>
      <c r="T73" s="20" t="s">
        <v>123</v>
      </c>
      <c r="U73" s="27">
        <f ca="1">IF(D91&gt;=4,RANDBETWEEN(D92,J92),0)</f>
        <v>2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12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12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12.5</v>
      </c>
      <c r="P74" s="22" t="s">
        <v>121</v>
      </c>
      <c r="Q74" s="22"/>
      <c r="R74" s="23"/>
      <c r="S74" s="19"/>
      <c r="T74" s="20" t="s">
        <v>124</v>
      </c>
      <c r="U74" s="30">
        <f ca="1">U72/U73</f>
        <v>12.5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2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3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3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4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159</v>
      </c>
      <c r="C76" s="31"/>
      <c r="D76" s="31"/>
      <c r="E76" s="31"/>
      <c r="F76" s="32"/>
      <c r="G76" s="19"/>
      <c r="H76" s="31" t="s">
        <v>159</v>
      </c>
      <c r="I76" s="31"/>
      <c r="J76" s="31"/>
      <c r="K76" s="31"/>
      <c r="L76" s="32"/>
      <c r="M76" s="19"/>
      <c r="N76" s="31" t="s">
        <v>159</v>
      </c>
      <c r="O76" s="31"/>
      <c r="P76" s="31"/>
      <c r="Q76" s="31"/>
      <c r="R76" s="32"/>
      <c r="S76" s="19"/>
      <c r="T76" s="31" t="s">
        <v>159</v>
      </c>
      <c r="U76" s="31"/>
      <c r="V76" s="31"/>
      <c r="W76" s="31"/>
      <c r="X76" s="32"/>
      <c r="Y76" s="19"/>
      <c r="Z76" s="31" t="s">
        <v>159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159</v>
      </c>
      <c r="C83" s="31"/>
      <c r="D83" s="31"/>
      <c r="E83" s="31"/>
      <c r="F83" s="32"/>
      <c r="G83" s="19"/>
      <c r="H83" s="31" t="s">
        <v>159</v>
      </c>
      <c r="I83" s="31"/>
      <c r="J83" s="31"/>
      <c r="K83" s="31"/>
      <c r="L83" s="32"/>
      <c r="M83" s="19"/>
      <c r="N83" s="31" t="s">
        <v>159</v>
      </c>
      <c r="O83" s="31"/>
      <c r="P83" s="31"/>
      <c r="Q83" s="31"/>
      <c r="R83" s="32"/>
      <c r="S83" s="19"/>
      <c r="T83" s="31" t="s">
        <v>159</v>
      </c>
      <c r="U83" s="31"/>
      <c r="V83" s="31"/>
      <c r="W83" s="31"/>
      <c r="X83" s="32"/>
      <c r="Y83" s="19"/>
      <c r="Z83" s="31" t="s">
        <v>159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159</v>
      </c>
      <c r="C90" s="37"/>
      <c r="D90" s="37"/>
      <c r="E90" s="37"/>
      <c r="F90" s="38"/>
      <c r="G90" s="36"/>
      <c r="H90" s="37" t="s">
        <v>159</v>
      </c>
      <c r="I90" s="37"/>
      <c r="J90" s="37"/>
      <c r="K90" s="37"/>
      <c r="L90" s="38"/>
      <c r="M90" s="36"/>
      <c r="N90" s="37" t="s">
        <v>159</v>
      </c>
      <c r="O90" s="37"/>
      <c r="P90" s="37"/>
      <c r="Q90" s="37"/>
      <c r="R90" s="38"/>
      <c r="S90" s="36"/>
      <c r="T90" s="37" t="s">
        <v>159</v>
      </c>
      <c r="U90" s="37"/>
      <c r="V90" s="37"/>
      <c r="W90" s="37"/>
      <c r="X90" s="38"/>
      <c r="Y90" s="36"/>
      <c r="Z90" s="37" t="s">
        <v>159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市场预测!O42</f>
        <v>4</v>
      </c>
      <c r="E91" s="41"/>
      <c r="F91" s="41"/>
      <c r="G91" s="42"/>
      <c r="H91" s="12" t="s">
        <v>131</v>
      </c>
      <c r="I91" s="12"/>
      <c r="J91" s="43">
        <v>12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122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AX92"/>
  <sheetViews>
    <sheetView view="pageBreakPreview" zoomScale="55" zoomScaleNormal="85" topLeftCell="A69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21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'5年全球'!AN3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3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'5年全球'!AN4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7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'5年全球'!AN5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4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'5年全球'!AN6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160</v>
      </c>
      <c r="C7" s="31"/>
      <c r="D7" s="31"/>
      <c r="E7" s="31"/>
      <c r="F7" s="32"/>
      <c r="G7" s="19"/>
      <c r="H7" s="31" t="s">
        <v>160</v>
      </c>
      <c r="I7" s="31"/>
      <c r="J7" s="31"/>
      <c r="K7" s="31"/>
      <c r="L7" s="32"/>
      <c r="M7" s="19"/>
      <c r="N7" s="31" t="s">
        <v>160</v>
      </c>
      <c r="O7" s="31"/>
      <c r="P7" s="31"/>
      <c r="Q7" s="31"/>
      <c r="R7" s="32"/>
      <c r="S7" s="19"/>
      <c r="T7" s="31" t="s">
        <v>160</v>
      </c>
      <c r="U7" s="31"/>
      <c r="V7" s="31"/>
      <c r="W7" s="31"/>
      <c r="X7" s="32"/>
      <c r="Y7" s="19"/>
      <c r="Z7" s="31" t="s">
        <v>160</v>
      </c>
      <c r="AA7" s="31"/>
      <c r="AB7" s="31"/>
      <c r="AC7" s="31"/>
      <c r="AD7" s="32"/>
      <c r="AE7" s="33"/>
      <c r="AF7" s="15"/>
      <c r="AG7" s="8" t="s">
        <v>55</v>
      </c>
      <c r="AH7" s="24">
        <f>'5年全球'!AN7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'5年全球'!AN8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'5年全球'!AN9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'5年全球'!AN10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'5年全球'!AN11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'5年全球'!AN12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'5年全球'!AN13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160</v>
      </c>
      <c r="C14" s="31"/>
      <c r="D14" s="31"/>
      <c r="E14" s="31"/>
      <c r="F14" s="32"/>
      <c r="G14" s="19"/>
      <c r="H14" s="31" t="s">
        <v>160</v>
      </c>
      <c r="I14" s="31"/>
      <c r="J14" s="31"/>
      <c r="K14" s="31"/>
      <c r="L14" s="32"/>
      <c r="M14" s="19"/>
      <c r="N14" s="31" t="s">
        <v>160</v>
      </c>
      <c r="O14" s="31"/>
      <c r="P14" s="31"/>
      <c r="Q14" s="31"/>
      <c r="R14" s="32"/>
      <c r="S14" s="19"/>
      <c r="T14" s="31" t="s">
        <v>160</v>
      </c>
      <c r="U14" s="31"/>
      <c r="V14" s="31"/>
      <c r="W14" s="31"/>
      <c r="X14" s="32"/>
      <c r="Y14" s="19"/>
      <c r="Z14" s="31" t="s">
        <v>160</v>
      </c>
      <c r="AA14" s="31"/>
      <c r="AB14" s="31"/>
      <c r="AC14" s="31"/>
      <c r="AD14" s="32"/>
      <c r="AE14" s="33"/>
      <c r="AF14" s="15"/>
      <c r="AG14" s="8" t="s">
        <v>62</v>
      </c>
      <c r="AH14" s="24">
        <f>'5年全球'!AN14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'5年全球'!AN15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'5年全球'!AN16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'5年全球'!AN17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160</v>
      </c>
      <c r="C21" s="37"/>
      <c r="D21" s="37"/>
      <c r="E21" s="37"/>
      <c r="F21" s="38"/>
      <c r="G21" s="36"/>
      <c r="H21" s="37" t="s">
        <v>160</v>
      </c>
      <c r="I21" s="37"/>
      <c r="J21" s="37"/>
      <c r="K21" s="37"/>
      <c r="L21" s="38"/>
      <c r="M21" s="36"/>
      <c r="N21" s="37" t="s">
        <v>160</v>
      </c>
      <c r="O21" s="37"/>
      <c r="P21" s="37"/>
      <c r="Q21" s="37"/>
      <c r="R21" s="38"/>
      <c r="S21" s="36"/>
      <c r="T21" s="37" t="s">
        <v>160</v>
      </c>
      <c r="U21" s="37"/>
      <c r="V21" s="37"/>
      <c r="W21" s="37"/>
      <c r="X21" s="38"/>
      <c r="Y21" s="36"/>
      <c r="Z21" s="37" t="s">
        <v>160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市场预测!L52</f>
        <v>1</v>
      </c>
      <c r="E22" s="41"/>
      <c r="F22" s="41"/>
      <c r="G22" s="42"/>
      <c r="H22" s="12" t="s">
        <v>131</v>
      </c>
      <c r="I22" s="12"/>
      <c r="J22" s="43">
        <v>7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3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0.375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21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24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31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24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4</v>
      </c>
      <c r="J27" s="28"/>
      <c r="K27" s="29"/>
      <c r="L27" s="23"/>
      <c r="M27" s="19"/>
      <c r="N27" s="20" t="s">
        <v>123</v>
      </c>
      <c r="O27" s="27">
        <f ca="1">IF(D45&gt;=3,RANDBETWEEN(D46,J46),0)</f>
        <v>3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8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7.75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8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4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4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3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160</v>
      </c>
      <c r="C30" s="31"/>
      <c r="D30" s="31"/>
      <c r="E30" s="31"/>
      <c r="F30" s="32"/>
      <c r="G30" s="19"/>
      <c r="H30" s="31" t="s">
        <v>160</v>
      </c>
      <c r="I30" s="31"/>
      <c r="J30" s="31"/>
      <c r="K30" s="31"/>
      <c r="L30" s="32"/>
      <c r="M30" s="19"/>
      <c r="N30" s="31" t="s">
        <v>160</v>
      </c>
      <c r="O30" s="31"/>
      <c r="P30" s="31"/>
      <c r="Q30" s="31"/>
      <c r="R30" s="32"/>
      <c r="S30" s="19"/>
      <c r="T30" s="31" t="s">
        <v>160</v>
      </c>
      <c r="U30" s="31"/>
      <c r="V30" s="31"/>
      <c r="W30" s="31"/>
      <c r="X30" s="32"/>
      <c r="Y30" s="19"/>
      <c r="Z30" s="31" t="s">
        <v>160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160</v>
      </c>
      <c r="C37" s="31"/>
      <c r="D37" s="31"/>
      <c r="E37" s="31"/>
      <c r="F37" s="32"/>
      <c r="G37" s="19"/>
      <c r="H37" s="31" t="s">
        <v>160</v>
      </c>
      <c r="I37" s="31"/>
      <c r="J37" s="31"/>
      <c r="K37" s="31"/>
      <c r="L37" s="32"/>
      <c r="M37" s="19"/>
      <c r="N37" s="31" t="s">
        <v>160</v>
      </c>
      <c r="O37" s="31"/>
      <c r="P37" s="31"/>
      <c r="Q37" s="31"/>
      <c r="R37" s="32"/>
      <c r="S37" s="19"/>
      <c r="T37" s="31" t="s">
        <v>160</v>
      </c>
      <c r="U37" s="31"/>
      <c r="V37" s="31"/>
      <c r="W37" s="31"/>
      <c r="X37" s="32"/>
      <c r="Y37" s="19"/>
      <c r="Z37" s="31" t="s">
        <v>160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160</v>
      </c>
      <c r="C44" s="37"/>
      <c r="D44" s="37"/>
      <c r="E44" s="37"/>
      <c r="F44" s="38"/>
      <c r="G44" s="36"/>
      <c r="H44" s="37" t="s">
        <v>160</v>
      </c>
      <c r="I44" s="37"/>
      <c r="J44" s="37"/>
      <c r="K44" s="37"/>
      <c r="L44" s="38"/>
      <c r="M44" s="36"/>
      <c r="N44" s="37" t="s">
        <v>160</v>
      </c>
      <c r="O44" s="37"/>
      <c r="P44" s="37"/>
      <c r="Q44" s="37"/>
      <c r="R44" s="38"/>
      <c r="S44" s="36"/>
      <c r="T44" s="37" t="s">
        <v>160</v>
      </c>
      <c r="U44" s="37"/>
      <c r="V44" s="37"/>
      <c r="W44" s="37"/>
      <c r="X44" s="38"/>
      <c r="Y44" s="36"/>
      <c r="Z44" s="37" t="s">
        <v>160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市场预测!M52</f>
        <v>3</v>
      </c>
      <c r="E45" s="41"/>
      <c r="F45" s="41"/>
      <c r="G45" s="42"/>
      <c r="H45" s="12" t="s">
        <v>131</v>
      </c>
      <c r="I45" s="12"/>
      <c r="J45" s="43">
        <v>8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10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1.25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79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39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21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39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4</v>
      </c>
      <c r="D50" s="28"/>
      <c r="E50" s="29"/>
      <c r="F50" s="23"/>
      <c r="G50" s="19"/>
      <c r="H50" s="20" t="s">
        <v>123</v>
      </c>
      <c r="I50" s="27">
        <f ca="1">IF(D68&gt;=2,RANDBETWEEN(D69,J69),0)</f>
        <v>2</v>
      </c>
      <c r="J50" s="28"/>
      <c r="K50" s="29"/>
      <c r="L50" s="23"/>
      <c r="M50" s="19"/>
      <c r="N50" s="20" t="s">
        <v>123</v>
      </c>
      <c r="O50" s="27">
        <f ca="1">IF(D68&gt;=3,RANDBETWEEN(D69,J69),0)</f>
        <v>3</v>
      </c>
      <c r="P50" s="28"/>
      <c r="Q50" s="29"/>
      <c r="R50" s="23"/>
      <c r="S50" s="19"/>
      <c r="T50" s="20" t="s">
        <v>123</v>
      </c>
      <c r="U50" s="27">
        <f ca="1">IF(D68&gt;=4,RANDBETWEEN(D69,J69),0)</f>
        <v>4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9.75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10.5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10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9.75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3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3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3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3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160</v>
      </c>
      <c r="C53" s="31"/>
      <c r="D53" s="31"/>
      <c r="E53" s="31"/>
      <c r="F53" s="32"/>
      <c r="G53" s="19"/>
      <c r="H53" s="31" t="s">
        <v>160</v>
      </c>
      <c r="I53" s="31"/>
      <c r="J53" s="31"/>
      <c r="K53" s="31"/>
      <c r="L53" s="32"/>
      <c r="M53" s="19"/>
      <c r="N53" s="31" t="s">
        <v>160</v>
      </c>
      <c r="O53" s="31"/>
      <c r="P53" s="31"/>
      <c r="Q53" s="31"/>
      <c r="R53" s="32"/>
      <c r="S53" s="19"/>
      <c r="T53" s="31" t="s">
        <v>160</v>
      </c>
      <c r="U53" s="31"/>
      <c r="V53" s="31"/>
      <c r="W53" s="31"/>
      <c r="X53" s="32"/>
      <c r="Y53" s="19"/>
      <c r="Z53" s="31" t="s">
        <v>160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160</v>
      </c>
      <c r="C60" s="31"/>
      <c r="D60" s="31"/>
      <c r="E60" s="31"/>
      <c r="F60" s="32"/>
      <c r="G60" s="19"/>
      <c r="H60" s="31" t="s">
        <v>160</v>
      </c>
      <c r="I60" s="31"/>
      <c r="J60" s="31"/>
      <c r="K60" s="31"/>
      <c r="L60" s="32"/>
      <c r="M60" s="19"/>
      <c r="N60" s="31" t="s">
        <v>160</v>
      </c>
      <c r="O60" s="31"/>
      <c r="P60" s="31"/>
      <c r="Q60" s="31"/>
      <c r="R60" s="32"/>
      <c r="S60" s="19"/>
      <c r="T60" s="31" t="s">
        <v>160</v>
      </c>
      <c r="U60" s="31"/>
      <c r="V60" s="31"/>
      <c r="W60" s="31"/>
      <c r="X60" s="32"/>
      <c r="Y60" s="19"/>
      <c r="Z60" s="31" t="s">
        <v>160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160</v>
      </c>
      <c r="C67" s="37"/>
      <c r="D67" s="37"/>
      <c r="E67" s="37"/>
      <c r="F67" s="38"/>
      <c r="G67" s="36"/>
      <c r="H67" s="37" t="s">
        <v>160</v>
      </c>
      <c r="I67" s="37"/>
      <c r="J67" s="37"/>
      <c r="K67" s="37"/>
      <c r="L67" s="38"/>
      <c r="M67" s="36"/>
      <c r="N67" s="37" t="s">
        <v>160</v>
      </c>
      <c r="O67" s="37"/>
      <c r="P67" s="37"/>
      <c r="Q67" s="37"/>
      <c r="R67" s="38"/>
      <c r="S67" s="36"/>
      <c r="T67" s="37" t="s">
        <v>160</v>
      </c>
      <c r="U67" s="37"/>
      <c r="V67" s="37"/>
      <c r="W67" s="37"/>
      <c r="X67" s="38"/>
      <c r="Y67" s="36"/>
      <c r="Z67" s="37" t="s">
        <v>160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市场预测!N52</f>
        <v>4</v>
      </c>
      <c r="E68" s="41"/>
      <c r="F68" s="41"/>
      <c r="G68" s="42"/>
      <c r="H68" s="12" t="s">
        <v>131</v>
      </c>
      <c r="I68" s="12"/>
      <c r="J68" s="43">
        <v>10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13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1.625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129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39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27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27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39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3</v>
      </c>
      <c r="D73" s="28"/>
      <c r="E73" s="29"/>
      <c r="F73" s="23"/>
      <c r="G73" s="19"/>
      <c r="H73" s="20" t="s">
        <v>123</v>
      </c>
      <c r="I73" s="27">
        <f ca="1">IF(D91&gt;=2,RANDBETWEEN(D92,J92),0)</f>
        <v>2</v>
      </c>
      <c r="J73" s="28"/>
      <c r="K73" s="29"/>
      <c r="L73" s="23"/>
      <c r="M73" s="19"/>
      <c r="N73" s="20" t="s">
        <v>123</v>
      </c>
      <c r="O73" s="27">
        <f ca="1">IF(D91&gt;=3,RANDBETWEEN(D92,J92),0)</f>
        <v>2</v>
      </c>
      <c r="P73" s="28"/>
      <c r="Q73" s="29"/>
      <c r="R73" s="23"/>
      <c r="S73" s="19"/>
      <c r="T73" s="20" t="s">
        <v>123</v>
      </c>
      <c r="U73" s="27">
        <f ca="1">IF(D91&gt;=4,RANDBETWEEN(D92,J92),0)</f>
        <v>3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13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13.5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13.5</v>
      </c>
      <c r="P74" s="22" t="s">
        <v>121</v>
      </c>
      <c r="Q74" s="22"/>
      <c r="R74" s="23"/>
      <c r="S74" s="19"/>
      <c r="T74" s="20" t="s">
        <v>124</v>
      </c>
      <c r="U74" s="30">
        <f ca="1">U72/U73</f>
        <v>13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2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4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4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2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160</v>
      </c>
      <c r="C76" s="31"/>
      <c r="D76" s="31"/>
      <c r="E76" s="31"/>
      <c r="F76" s="32"/>
      <c r="G76" s="19"/>
      <c r="H76" s="31" t="s">
        <v>160</v>
      </c>
      <c r="I76" s="31"/>
      <c r="J76" s="31"/>
      <c r="K76" s="31"/>
      <c r="L76" s="32"/>
      <c r="M76" s="19"/>
      <c r="N76" s="31" t="s">
        <v>160</v>
      </c>
      <c r="O76" s="31"/>
      <c r="P76" s="31"/>
      <c r="Q76" s="31"/>
      <c r="R76" s="32"/>
      <c r="S76" s="19"/>
      <c r="T76" s="31" t="s">
        <v>160</v>
      </c>
      <c r="U76" s="31"/>
      <c r="V76" s="31"/>
      <c r="W76" s="31"/>
      <c r="X76" s="32"/>
      <c r="Y76" s="19"/>
      <c r="Z76" s="31" t="s">
        <v>160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160</v>
      </c>
      <c r="C83" s="31"/>
      <c r="D83" s="31"/>
      <c r="E83" s="31"/>
      <c r="F83" s="32"/>
      <c r="G83" s="19"/>
      <c r="H83" s="31" t="s">
        <v>160</v>
      </c>
      <c r="I83" s="31"/>
      <c r="J83" s="31"/>
      <c r="K83" s="31"/>
      <c r="L83" s="32"/>
      <c r="M83" s="19"/>
      <c r="N83" s="31" t="s">
        <v>160</v>
      </c>
      <c r="O83" s="31"/>
      <c r="P83" s="31"/>
      <c r="Q83" s="31"/>
      <c r="R83" s="32"/>
      <c r="S83" s="19"/>
      <c r="T83" s="31" t="s">
        <v>160</v>
      </c>
      <c r="U83" s="31"/>
      <c r="V83" s="31"/>
      <c r="W83" s="31"/>
      <c r="X83" s="32"/>
      <c r="Y83" s="19"/>
      <c r="Z83" s="31" t="s">
        <v>160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160</v>
      </c>
      <c r="C90" s="37"/>
      <c r="D90" s="37"/>
      <c r="E90" s="37"/>
      <c r="F90" s="38"/>
      <c r="G90" s="36"/>
      <c r="H90" s="37" t="s">
        <v>160</v>
      </c>
      <c r="I90" s="37"/>
      <c r="J90" s="37"/>
      <c r="K90" s="37"/>
      <c r="L90" s="38"/>
      <c r="M90" s="36"/>
      <c r="N90" s="37" t="s">
        <v>160</v>
      </c>
      <c r="O90" s="37"/>
      <c r="P90" s="37"/>
      <c r="Q90" s="37"/>
      <c r="R90" s="38"/>
      <c r="S90" s="36"/>
      <c r="T90" s="37" t="s">
        <v>160</v>
      </c>
      <c r="U90" s="37"/>
      <c r="V90" s="37"/>
      <c r="W90" s="37"/>
      <c r="X90" s="38"/>
      <c r="Y90" s="36"/>
      <c r="Z90" s="37" t="s">
        <v>160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市场预测!O52</f>
        <v>4</v>
      </c>
      <c r="E91" s="41"/>
      <c r="F91" s="41"/>
      <c r="G91" s="42"/>
      <c r="H91" s="12" t="s">
        <v>131</v>
      </c>
      <c r="I91" s="12"/>
      <c r="J91" s="43">
        <v>13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132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AX92"/>
  <sheetViews>
    <sheetView view="pageBreakPreview" zoomScale="55" zoomScaleNormal="85" topLeftCell="A69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19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'6年本地'!AN3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4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'6年本地'!AN4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4.75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'6年本地'!AN5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'6年本地'!AN6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161</v>
      </c>
      <c r="C7" s="31"/>
      <c r="D7" s="31"/>
      <c r="E7" s="31"/>
      <c r="F7" s="32"/>
      <c r="G7" s="19"/>
      <c r="H7" s="31" t="s">
        <v>161</v>
      </c>
      <c r="I7" s="31"/>
      <c r="J7" s="31"/>
      <c r="K7" s="31"/>
      <c r="L7" s="32"/>
      <c r="M7" s="19"/>
      <c r="N7" s="31" t="s">
        <v>161</v>
      </c>
      <c r="O7" s="31"/>
      <c r="P7" s="31"/>
      <c r="Q7" s="31"/>
      <c r="R7" s="32"/>
      <c r="S7" s="19"/>
      <c r="T7" s="31" t="s">
        <v>161</v>
      </c>
      <c r="U7" s="31"/>
      <c r="V7" s="31"/>
      <c r="W7" s="31"/>
      <c r="X7" s="32"/>
      <c r="Y7" s="19"/>
      <c r="Z7" s="31" t="s">
        <v>161</v>
      </c>
      <c r="AA7" s="31"/>
      <c r="AB7" s="31"/>
      <c r="AC7" s="31"/>
      <c r="AD7" s="32"/>
      <c r="AE7" s="33"/>
      <c r="AF7" s="15"/>
      <c r="AG7" s="8" t="s">
        <v>55</v>
      </c>
      <c r="AH7" s="24">
        <f>'6年本地'!AN7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'6年本地'!AN8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'6年本地'!AN9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'6年本地'!AN10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'6年本地'!AN11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'6年本地'!AN12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'6年本地'!AN13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161</v>
      </c>
      <c r="C14" s="31"/>
      <c r="D14" s="31"/>
      <c r="E14" s="31"/>
      <c r="F14" s="32"/>
      <c r="G14" s="19"/>
      <c r="H14" s="31" t="s">
        <v>161</v>
      </c>
      <c r="I14" s="31"/>
      <c r="J14" s="31"/>
      <c r="K14" s="31"/>
      <c r="L14" s="32"/>
      <c r="M14" s="19"/>
      <c r="N14" s="31" t="s">
        <v>161</v>
      </c>
      <c r="O14" s="31"/>
      <c r="P14" s="31"/>
      <c r="Q14" s="31"/>
      <c r="R14" s="32"/>
      <c r="S14" s="19"/>
      <c r="T14" s="31" t="s">
        <v>161</v>
      </c>
      <c r="U14" s="31"/>
      <c r="V14" s="31"/>
      <c r="W14" s="31"/>
      <c r="X14" s="32"/>
      <c r="Y14" s="19"/>
      <c r="Z14" s="31" t="s">
        <v>161</v>
      </c>
      <c r="AA14" s="31"/>
      <c r="AB14" s="31"/>
      <c r="AC14" s="31"/>
      <c r="AD14" s="32"/>
      <c r="AE14" s="33"/>
      <c r="AF14" s="15"/>
      <c r="AG14" s="8" t="s">
        <v>62</v>
      </c>
      <c r="AH14" s="24">
        <f>'6年本地'!AN14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'6年本地'!AN15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'6年本地'!AN16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'6年本地'!AN17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161</v>
      </c>
      <c r="C21" s="37"/>
      <c r="D21" s="37"/>
      <c r="E21" s="37"/>
      <c r="F21" s="38"/>
      <c r="G21" s="36"/>
      <c r="H21" s="37" t="s">
        <v>161</v>
      </c>
      <c r="I21" s="37"/>
      <c r="J21" s="37"/>
      <c r="K21" s="37"/>
      <c r="L21" s="38"/>
      <c r="M21" s="36"/>
      <c r="N21" s="37" t="s">
        <v>161</v>
      </c>
      <c r="O21" s="37"/>
      <c r="P21" s="37"/>
      <c r="Q21" s="37"/>
      <c r="R21" s="38"/>
      <c r="S21" s="36"/>
      <c r="T21" s="37" t="s">
        <v>161</v>
      </c>
      <c r="U21" s="37"/>
      <c r="V21" s="37"/>
      <c r="W21" s="37"/>
      <c r="X21" s="38"/>
      <c r="Y21" s="36"/>
      <c r="Z21" s="37" t="s">
        <v>161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市场预测!L23</f>
        <v>1</v>
      </c>
      <c r="E22" s="41"/>
      <c r="F22" s="41"/>
      <c r="G22" s="42"/>
      <c r="H22" s="12" t="s">
        <v>131</v>
      </c>
      <c r="I22" s="12"/>
      <c r="J22" s="43">
        <v>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4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19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23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23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4</v>
      </c>
      <c r="D27" s="28"/>
      <c r="E27" s="29"/>
      <c r="F27" s="23"/>
      <c r="G27" s="19"/>
      <c r="H27" s="20" t="s">
        <v>123</v>
      </c>
      <c r="I27" s="27">
        <f ca="1">IF(D45&gt;=2,RANDBETWEEN(D46,J46),0)</f>
        <v>4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5.75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5.75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4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4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161</v>
      </c>
      <c r="C30" s="31"/>
      <c r="D30" s="31"/>
      <c r="E30" s="31"/>
      <c r="F30" s="32"/>
      <c r="G30" s="19"/>
      <c r="H30" s="31" t="s">
        <v>161</v>
      </c>
      <c r="I30" s="31"/>
      <c r="J30" s="31"/>
      <c r="K30" s="31"/>
      <c r="L30" s="32"/>
      <c r="M30" s="19"/>
      <c r="N30" s="31" t="s">
        <v>161</v>
      </c>
      <c r="O30" s="31"/>
      <c r="P30" s="31"/>
      <c r="Q30" s="31"/>
      <c r="R30" s="32"/>
      <c r="S30" s="19"/>
      <c r="T30" s="31" t="s">
        <v>161</v>
      </c>
      <c r="U30" s="31"/>
      <c r="V30" s="31"/>
      <c r="W30" s="31"/>
      <c r="X30" s="32"/>
      <c r="Y30" s="19"/>
      <c r="Z30" s="31" t="s">
        <v>161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161</v>
      </c>
      <c r="C37" s="31"/>
      <c r="D37" s="31"/>
      <c r="E37" s="31"/>
      <c r="F37" s="32"/>
      <c r="G37" s="19"/>
      <c r="H37" s="31" t="s">
        <v>161</v>
      </c>
      <c r="I37" s="31"/>
      <c r="J37" s="31"/>
      <c r="K37" s="31"/>
      <c r="L37" s="32"/>
      <c r="M37" s="19"/>
      <c r="N37" s="31" t="s">
        <v>161</v>
      </c>
      <c r="O37" s="31"/>
      <c r="P37" s="31"/>
      <c r="Q37" s="31"/>
      <c r="R37" s="32"/>
      <c r="S37" s="19"/>
      <c r="T37" s="31" t="s">
        <v>161</v>
      </c>
      <c r="U37" s="31"/>
      <c r="V37" s="31"/>
      <c r="W37" s="31"/>
      <c r="X37" s="32"/>
      <c r="Y37" s="19"/>
      <c r="Z37" s="31" t="s">
        <v>161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161</v>
      </c>
      <c r="C44" s="37"/>
      <c r="D44" s="37"/>
      <c r="E44" s="37"/>
      <c r="F44" s="38"/>
      <c r="G44" s="36"/>
      <c r="H44" s="37" t="s">
        <v>161</v>
      </c>
      <c r="I44" s="37"/>
      <c r="J44" s="37"/>
      <c r="K44" s="37"/>
      <c r="L44" s="38"/>
      <c r="M44" s="36"/>
      <c r="N44" s="37" t="s">
        <v>161</v>
      </c>
      <c r="O44" s="37"/>
      <c r="P44" s="37"/>
      <c r="Q44" s="37"/>
      <c r="R44" s="38"/>
      <c r="S44" s="36"/>
      <c r="T44" s="37" t="s">
        <v>161</v>
      </c>
      <c r="U44" s="37"/>
      <c r="V44" s="37"/>
      <c r="W44" s="37"/>
      <c r="X44" s="38"/>
      <c r="Y44" s="36"/>
      <c r="Z44" s="37" t="s">
        <v>161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市场预测!M23</f>
        <v>2</v>
      </c>
      <c r="E45" s="41"/>
      <c r="F45" s="41"/>
      <c r="G45" s="42"/>
      <c r="H45" s="12" t="s">
        <v>131</v>
      </c>
      <c r="I45" s="12"/>
      <c r="J45" s="43">
        <v>6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8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46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24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31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17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24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17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3</v>
      </c>
      <c r="D50" s="28"/>
      <c r="E50" s="29"/>
      <c r="F50" s="23"/>
      <c r="G50" s="19"/>
      <c r="H50" s="20" t="s">
        <v>123</v>
      </c>
      <c r="I50" s="27">
        <f ca="1">IF(D68&gt;=2,RANDBETWEEN(D69,J69),0)</f>
        <v>4</v>
      </c>
      <c r="J50" s="28"/>
      <c r="K50" s="29"/>
      <c r="L50" s="23"/>
      <c r="M50" s="19"/>
      <c r="N50" s="20" t="s">
        <v>123</v>
      </c>
      <c r="O50" s="27">
        <f ca="1">IF(D68&gt;=3,RANDBETWEEN(D69,J69),0)</f>
        <v>2</v>
      </c>
      <c r="P50" s="28"/>
      <c r="Q50" s="29"/>
      <c r="R50" s="23"/>
      <c r="S50" s="19"/>
      <c r="T50" s="20" t="s">
        <v>123</v>
      </c>
      <c r="U50" s="27">
        <f ca="1">IF(D68&gt;=4,RANDBETWEEN(D69,J69),0)</f>
        <v>3</v>
      </c>
      <c r="V50" s="28"/>
      <c r="W50" s="29"/>
      <c r="X50" s="23"/>
      <c r="Y50" s="19"/>
      <c r="Z50" s="20" t="s">
        <v>123</v>
      </c>
      <c r="AA50" s="27">
        <f ca="1">IF(D68&gt;=5,RANDBETWEEN(D69,J69),0)</f>
        <v>2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7.75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8.5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8</v>
      </c>
      <c r="V51" s="22" t="s">
        <v>121</v>
      </c>
      <c r="W51" s="22"/>
      <c r="X51" s="23"/>
      <c r="Y51" s="19"/>
      <c r="Z51" s="20" t="s">
        <v>124</v>
      </c>
      <c r="AA51" s="30">
        <f ca="1">AA49/AA50</f>
        <v>8.5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4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2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3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3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161</v>
      </c>
      <c r="C53" s="31"/>
      <c r="D53" s="31"/>
      <c r="E53" s="31"/>
      <c r="F53" s="32"/>
      <c r="G53" s="19"/>
      <c r="H53" s="31" t="s">
        <v>161</v>
      </c>
      <c r="I53" s="31"/>
      <c r="J53" s="31"/>
      <c r="K53" s="31"/>
      <c r="L53" s="32"/>
      <c r="M53" s="19"/>
      <c r="N53" s="31" t="s">
        <v>161</v>
      </c>
      <c r="O53" s="31"/>
      <c r="P53" s="31"/>
      <c r="Q53" s="31"/>
      <c r="R53" s="32"/>
      <c r="S53" s="19"/>
      <c r="T53" s="31" t="s">
        <v>161</v>
      </c>
      <c r="U53" s="31"/>
      <c r="V53" s="31"/>
      <c r="W53" s="31"/>
      <c r="X53" s="32"/>
      <c r="Y53" s="19"/>
      <c r="Z53" s="31" t="s">
        <v>161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161</v>
      </c>
      <c r="C60" s="31"/>
      <c r="D60" s="31"/>
      <c r="E60" s="31"/>
      <c r="F60" s="32"/>
      <c r="G60" s="19"/>
      <c r="H60" s="31" t="s">
        <v>161</v>
      </c>
      <c r="I60" s="31"/>
      <c r="J60" s="31"/>
      <c r="K60" s="31"/>
      <c r="L60" s="32"/>
      <c r="M60" s="19"/>
      <c r="N60" s="31" t="s">
        <v>161</v>
      </c>
      <c r="O60" s="31"/>
      <c r="P60" s="31"/>
      <c r="Q60" s="31"/>
      <c r="R60" s="32"/>
      <c r="S60" s="19"/>
      <c r="T60" s="31" t="s">
        <v>161</v>
      </c>
      <c r="U60" s="31"/>
      <c r="V60" s="31"/>
      <c r="W60" s="31"/>
      <c r="X60" s="32"/>
      <c r="Y60" s="19"/>
      <c r="Z60" s="31" t="s">
        <v>161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161</v>
      </c>
      <c r="C67" s="37"/>
      <c r="D67" s="37"/>
      <c r="E67" s="37"/>
      <c r="F67" s="38"/>
      <c r="G67" s="36"/>
      <c r="H67" s="37" t="s">
        <v>161</v>
      </c>
      <c r="I67" s="37"/>
      <c r="J67" s="37"/>
      <c r="K67" s="37"/>
      <c r="L67" s="38"/>
      <c r="M67" s="36"/>
      <c r="N67" s="37" t="s">
        <v>161</v>
      </c>
      <c r="O67" s="37"/>
      <c r="P67" s="37"/>
      <c r="Q67" s="37"/>
      <c r="R67" s="38"/>
      <c r="S67" s="36"/>
      <c r="T67" s="37" t="s">
        <v>161</v>
      </c>
      <c r="U67" s="37"/>
      <c r="V67" s="37"/>
      <c r="W67" s="37"/>
      <c r="X67" s="38"/>
      <c r="Y67" s="36"/>
      <c r="Z67" s="37" t="s">
        <v>161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市场预测!N23</f>
        <v>5</v>
      </c>
      <c r="E68" s="41"/>
      <c r="F68" s="41"/>
      <c r="G68" s="42"/>
      <c r="H68" s="12" t="s">
        <v>131</v>
      </c>
      <c r="I68" s="12"/>
      <c r="J68" s="43">
        <v>8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14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113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43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33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33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4</v>
      </c>
      <c r="D73" s="28"/>
      <c r="E73" s="29"/>
      <c r="F73" s="23"/>
      <c r="G73" s="19"/>
      <c r="H73" s="20" t="s">
        <v>123</v>
      </c>
      <c r="I73" s="27">
        <f ca="1">IF(D91&gt;=2,RANDBETWEEN(D92,J92),0)</f>
        <v>3</v>
      </c>
      <c r="J73" s="28"/>
      <c r="K73" s="29"/>
      <c r="L73" s="23"/>
      <c r="M73" s="19"/>
      <c r="N73" s="20" t="s">
        <v>123</v>
      </c>
      <c r="O73" s="27">
        <f ca="1">IF(D91&gt;=3,RANDBETWEEN(D92,J92),0)</f>
        <v>3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10.75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11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11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2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4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3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161</v>
      </c>
      <c r="C76" s="31"/>
      <c r="D76" s="31"/>
      <c r="E76" s="31"/>
      <c r="F76" s="32"/>
      <c r="G76" s="19"/>
      <c r="H76" s="31" t="s">
        <v>161</v>
      </c>
      <c r="I76" s="31"/>
      <c r="J76" s="31"/>
      <c r="K76" s="31"/>
      <c r="L76" s="32"/>
      <c r="M76" s="19"/>
      <c r="N76" s="31" t="s">
        <v>161</v>
      </c>
      <c r="O76" s="31"/>
      <c r="P76" s="31"/>
      <c r="Q76" s="31"/>
      <c r="R76" s="32"/>
      <c r="S76" s="19"/>
      <c r="T76" s="31" t="s">
        <v>161</v>
      </c>
      <c r="U76" s="31"/>
      <c r="V76" s="31"/>
      <c r="W76" s="31"/>
      <c r="X76" s="32"/>
      <c r="Y76" s="19"/>
      <c r="Z76" s="31" t="s">
        <v>161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161</v>
      </c>
      <c r="C83" s="31"/>
      <c r="D83" s="31"/>
      <c r="E83" s="31"/>
      <c r="F83" s="32"/>
      <c r="G83" s="19"/>
      <c r="H83" s="31" t="s">
        <v>161</v>
      </c>
      <c r="I83" s="31"/>
      <c r="J83" s="31"/>
      <c r="K83" s="31"/>
      <c r="L83" s="32"/>
      <c r="M83" s="19"/>
      <c r="N83" s="31" t="s">
        <v>161</v>
      </c>
      <c r="O83" s="31"/>
      <c r="P83" s="31"/>
      <c r="Q83" s="31"/>
      <c r="R83" s="32"/>
      <c r="S83" s="19"/>
      <c r="T83" s="31" t="s">
        <v>161</v>
      </c>
      <c r="U83" s="31"/>
      <c r="V83" s="31"/>
      <c r="W83" s="31"/>
      <c r="X83" s="32"/>
      <c r="Y83" s="19"/>
      <c r="Z83" s="31" t="s">
        <v>161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161</v>
      </c>
      <c r="C90" s="37"/>
      <c r="D90" s="37"/>
      <c r="E90" s="37"/>
      <c r="F90" s="38"/>
      <c r="G90" s="36"/>
      <c r="H90" s="37" t="s">
        <v>161</v>
      </c>
      <c r="I90" s="37"/>
      <c r="J90" s="37"/>
      <c r="K90" s="37"/>
      <c r="L90" s="38"/>
      <c r="M90" s="36"/>
      <c r="N90" s="37" t="s">
        <v>161</v>
      </c>
      <c r="O90" s="37"/>
      <c r="P90" s="37"/>
      <c r="Q90" s="37"/>
      <c r="R90" s="38"/>
      <c r="S90" s="36"/>
      <c r="T90" s="37" t="s">
        <v>161</v>
      </c>
      <c r="U90" s="37"/>
      <c r="V90" s="37"/>
      <c r="W90" s="37"/>
      <c r="X90" s="38"/>
      <c r="Y90" s="36"/>
      <c r="Z90" s="37" t="s">
        <v>161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市场预测!O23</f>
        <v>3</v>
      </c>
      <c r="E91" s="41"/>
      <c r="F91" s="41"/>
      <c r="G91" s="42"/>
      <c r="H91" s="12" t="s">
        <v>131</v>
      </c>
      <c r="I91" s="12"/>
      <c r="J91" s="43">
        <v>11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109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AX92"/>
  <sheetViews>
    <sheetView view="pageBreakPreview" zoomScale="55" zoomScaleNormal="85" topLeftCell="A6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16.5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16.5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'6年区域'!AN3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3</v>
      </c>
      <c r="D4" s="28"/>
      <c r="E4" s="29"/>
      <c r="F4" s="23"/>
      <c r="G4" s="19"/>
      <c r="H4" s="20" t="s">
        <v>123</v>
      </c>
      <c r="I4" s="27">
        <f ca="1">IF(D22&gt;=2,RANDBETWEEN(D23,J23),0)</f>
        <v>3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'6年区域'!AN4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5.5</v>
      </c>
      <c r="D5" s="22" t="s">
        <v>121</v>
      </c>
      <c r="E5" s="22"/>
      <c r="F5" s="23"/>
      <c r="G5" s="19"/>
      <c r="H5" s="20" t="s">
        <v>124</v>
      </c>
      <c r="I5" s="30">
        <f ca="1">I3/I4</f>
        <v>5.5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'6年区域'!AN5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3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3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'6年区域'!AN6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162</v>
      </c>
      <c r="C7" s="31"/>
      <c r="D7" s="31"/>
      <c r="E7" s="31"/>
      <c r="F7" s="32"/>
      <c r="G7" s="19"/>
      <c r="H7" s="31" t="s">
        <v>162</v>
      </c>
      <c r="I7" s="31"/>
      <c r="J7" s="31"/>
      <c r="K7" s="31"/>
      <c r="L7" s="32"/>
      <c r="M7" s="19"/>
      <c r="N7" s="31" t="s">
        <v>162</v>
      </c>
      <c r="O7" s="31"/>
      <c r="P7" s="31"/>
      <c r="Q7" s="31"/>
      <c r="R7" s="32"/>
      <c r="S7" s="19"/>
      <c r="T7" s="31" t="s">
        <v>162</v>
      </c>
      <c r="U7" s="31"/>
      <c r="V7" s="31"/>
      <c r="W7" s="31"/>
      <c r="X7" s="32"/>
      <c r="Y7" s="19"/>
      <c r="Z7" s="31" t="s">
        <v>162</v>
      </c>
      <c r="AA7" s="31"/>
      <c r="AB7" s="31"/>
      <c r="AC7" s="31"/>
      <c r="AD7" s="32"/>
      <c r="AE7" s="33"/>
      <c r="AF7" s="15"/>
      <c r="AG7" s="8" t="s">
        <v>55</v>
      </c>
      <c r="AH7" s="24">
        <f>'6年区域'!AN7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'6年区域'!AN8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'6年区域'!AN9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'6年区域'!AN10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'6年区域'!AN11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'6年区域'!AN12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'6年区域'!AN13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162</v>
      </c>
      <c r="C14" s="31"/>
      <c r="D14" s="31"/>
      <c r="E14" s="31"/>
      <c r="F14" s="32"/>
      <c r="G14" s="19"/>
      <c r="H14" s="31" t="s">
        <v>162</v>
      </c>
      <c r="I14" s="31"/>
      <c r="J14" s="31"/>
      <c r="K14" s="31"/>
      <c r="L14" s="32"/>
      <c r="M14" s="19"/>
      <c r="N14" s="31" t="s">
        <v>162</v>
      </c>
      <c r="O14" s="31"/>
      <c r="P14" s="31"/>
      <c r="Q14" s="31"/>
      <c r="R14" s="32"/>
      <c r="S14" s="19"/>
      <c r="T14" s="31" t="s">
        <v>162</v>
      </c>
      <c r="U14" s="31"/>
      <c r="V14" s="31"/>
      <c r="W14" s="31"/>
      <c r="X14" s="32"/>
      <c r="Y14" s="19"/>
      <c r="Z14" s="31" t="s">
        <v>162</v>
      </c>
      <c r="AA14" s="31"/>
      <c r="AB14" s="31"/>
      <c r="AC14" s="31"/>
      <c r="AD14" s="32"/>
      <c r="AE14" s="33"/>
      <c r="AF14" s="15"/>
      <c r="AG14" s="8" t="s">
        <v>62</v>
      </c>
      <c r="AH14" s="24">
        <f>'6年区域'!AN14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'6年区域'!AN15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'6年区域'!AN16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'6年区域'!AN17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162</v>
      </c>
      <c r="C21" s="37"/>
      <c r="D21" s="37"/>
      <c r="E21" s="37"/>
      <c r="F21" s="38"/>
      <c r="G21" s="36"/>
      <c r="H21" s="37" t="s">
        <v>162</v>
      </c>
      <c r="I21" s="37"/>
      <c r="J21" s="37"/>
      <c r="K21" s="37"/>
      <c r="L21" s="38"/>
      <c r="M21" s="36"/>
      <c r="N21" s="37" t="s">
        <v>162</v>
      </c>
      <c r="O21" s="37"/>
      <c r="P21" s="37"/>
      <c r="Q21" s="37"/>
      <c r="R21" s="38"/>
      <c r="S21" s="36"/>
      <c r="T21" s="37" t="s">
        <v>162</v>
      </c>
      <c r="U21" s="37"/>
      <c r="V21" s="37"/>
      <c r="W21" s="37"/>
      <c r="X21" s="38"/>
      <c r="Y21" s="36"/>
      <c r="Z21" s="37" t="s">
        <v>162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市场预测!L33</f>
        <v>2</v>
      </c>
      <c r="E22" s="41"/>
      <c r="F22" s="41"/>
      <c r="G22" s="42"/>
      <c r="H22" s="12" t="s">
        <v>131</v>
      </c>
      <c r="I22" s="12"/>
      <c r="J22" s="43">
        <v>5.5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6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33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25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14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4</v>
      </c>
      <c r="D27" s="28"/>
      <c r="E27" s="29"/>
      <c r="F27" s="23"/>
      <c r="G27" s="19"/>
      <c r="H27" s="20" t="s">
        <v>123</v>
      </c>
      <c r="I27" s="27">
        <f ca="1">IF(D45&gt;=2,RANDBETWEEN(D46,J46),0)</f>
        <v>2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6.25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7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3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2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162</v>
      </c>
      <c r="C30" s="31"/>
      <c r="D30" s="31"/>
      <c r="E30" s="31"/>
      <c r="F30" s="32"/>
      <c r="G30" s="19"/>
      <c r="H30" s="31" t="s">
        <v>162</v>
      </c>
      <c r="I30" s="31"/>
      <c r="J30" s="31"/>
      <c r="K30" s="31"/>
      <c r="L30" s="32"/>
      <c r="M30" s="19"/>
      <c r="N30" s="31" t="s">
        <v>162</v>
      </c>
      <c r="O30" s="31"/>
      <c r="P30" s="31"/>
      <c r="Q30" s="31"/>
      <c r="R30" s="32"/>
      <c r="S30" s="19"/>
      <c r="T30" s="31" t="s">
        <v>162</v>
      </c>
      <c r="U30" s="31"/>
      <c r="V30" s="31"/>
      <c r="W30" s="31"/>
      <c r="X30" s="32"/>
      <c r="Y30" s="19"/>
      <c r="Z30" s="31" t="s">
        <v>162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162</v>
      </c>
      <c r="C37" s="31"/>
      <c r="D37" s="31"/>
      <c r="E37" s="31"/>
      <c r="F37" s="32"/>
      <c r="G37" s="19"/>
      <c r="H37" s="31" t="s">
        <v>162</v>
      </c>
      <c r="I37" s="31"/>
      <c r="J37" s="31"/>
      <c r="K37" s="31"/>
      <c r="L37" s="32"/>
      <c r="M37" s="19"/>
      <c r="N37" s="31" t="s">
        <v>162</v>
      </c>
      <c r="O37" s="31"/>
      <c r="P37" s="31"/>
      <c r="Q37" s="31"/>
      <c r="R37" s="32"/>
      <c r="S37" s="19"/>
      <c r="T37" s="31" t="s">
        <v>162</v>
      </c>
      <c r="U37" s="31"/>
      <c r="V37" s="31"/>
      <c r="W37" s="31"/>
      <c r="X37" s="32"/>
      <c r="Y37" s="19"/>
      <c r="Z37" s="31" t="s">
        <v>162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162</v>
      </c>
      <c r="C44" s="37"/>
      <c r="D44" s="37"/>
      <c r="E44" s="37"/>
      <c r="F44" s="38"/>
      <c r="G44" s="36"/>
      <c r="H44" s="37" t="s">
        <v>162</v>
      </c>
      <c r="I44" s="37"/>
      <c r="J44" s="37"/>
      <c r="K44" s="37"/>
      <c r="L44" s="38"/>
      <c r="M44" s="36"/>
      <c r="N44" s="37" t="s">
        <v>162</v>
      </c>
      <c r="O44" s="37"/>
      <c r="P44" s="37"/>
      <c r="Q44" s="37"/>
      <c r="R44" s="38"/>
      <c r="S44" s="36"/>
      <c r="T44" s="37" t="s">
        <v>162</v>
      </c>
      <c r="U44" s="37"/>
      <c r="V44" s="37"/>
      <c r="W44" s="37"/>
      <c r="X44" s="38"/>
      <c r="Y44" s="36"/>
      <c r="Z44" s="37" t="s">
        <v>162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市场预测!M33</f>
        <v>2</v>
      </c>
      <c r="E45" s="41"/>
      <c r="F45" s="41"/>
      <c r="G45" s="42"/>
      <c r="H45" s="12" t="s">
        <v>131</v>
      </c>
      <c r="I45" s="12"/>
      <c r="J45" s="43">
        <v>6.5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6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0.75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39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33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25.5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33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18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4</v>
      </c>
      <c r="D50" s="28"/>
      <c r="E50" s="29"/>
      <c r="F50" s="23"/>
      <c r="G50" s="19"/>
      <c r="H50" s="20" t="s">
        <v>123</v>
      </c>
      <c r="I50" s="27">
        <f ca="1">IF(D68&gt;=2,RANDBETWEEN(D69,J69),0)</f>
        <v>3</v>
      </c>
      <c r="J50" s="28"/>
      <c r="K50" s="29"/>
      <c r="L50" s="23"/>
      <c r="M50" s="19"/>
      <c r="N50" s="20" t="s">
        <v>123</v>
      </c>
      <c r="O50" s="27">
        <f ca="1">IF(D68&gt;=3,RANDBETWEEN(D69,J69),0)</f>
        <v>4</v>
      </c>
      <c r="P50" s="28"/>
      <c r="Q50" s="29"/>
      <c r="R50" s="23"/>
      <c r="S50" s="19"/>
      <c r="T50" s="20" t="s">
        <v>123</v>
      </c>
      <c r="U50" s="27">
        <f ca="1">IF(D68&gt;=4,RANDBETWEEN(D69,J69),0)</f>
        <v>2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8.25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8.5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8.25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9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4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2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2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2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162</v>
      </c>
      <c r="C53" s="31"/>
      <c r="D53" s="31"/>
      <c r="E53" s="31"/>
      <c r="F53" s="32"/>
      <c r="G53" s="19"/>
      <c r="H53" s="31" t="s">
        <v>162</v>
      </c>
      <c r="I53" s="31"/>
      <c r="J53" s="31"/>
      <c r="K53" s="31"/>
      <c r="L53" s="32"/>
      <c r="M53" s="19"/>
      <c r="N53" s="31" t="s">
        <v>162</v>
      </c>
      <c r="O53" s="31"/>
      <c r="P53" s="31"/>
      <c r="Q53" s="31"/>
      <c r="R53" s="32"/>
      <c r="S53" s="19"/>
      <c r="T53" s="31" t="s">
        <v>162</v>
      </c>
      <c r="U53" s="31"/>
      <c r="V53" s="31"/>
      <c r="W53" s="31"/>
      <c r="X53" s="32"/>
      <c r="Y53" s="19"/>
      <c r="Z53" s="31" t="s">
        <v>162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162</v>
      </c>
      <c r="C60" s="31"/>
      <c r="D60" s="31"/>
      <c r="E60" s="31"/>
      <c r="F60" s="32"/>
      <c r="G60" s="19"/>
      <c r="H60" s="31" t="s">
        <v>162</v>
      </c>
      <c r="I60" s="31"/>
      <c r="J60" s="31"/>
      <c r="K60" s="31"/>
      <c r="L60" s="32"/>
      <c r="M60" s="19"/>
      <c r="N60" s="31" t="s">
        <v>162</v>
      </c>
      <c r="O60" s="31"/>
      <c r="P60" s="31"/>
      <c r="Q60" s="31"/>
      <c r="R60" s="32"/>
      <c r="S60" s="19"/>
      <c r="T60" s="31" t="s">
        <v>162</v>
      </c>
      <c r="U60" s="31"/>
      <c r="V60" s="31"/>
      <c r="W60" s="31"/>
      <c r="X60" s="32"/>
      <c r="Y60" s="19"/>
      <c r="Z60" s="31" t="s">
        <v>162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162</v>
      </c>
      <c r="C67" s="37"/>
      <c r="D67" s="37"/>
      <c r="E67" s="37"/>
      <c r="F67" s="38"/>
      <c r="G67" s="36"/>
      <c r="H67" s="37" t="s">
        <v>162</v>
      </c>
      <c r="I67" s="37"/>
      <c r="J67" s="37"/>
      <c r="K67" s="37"/>
      <c r="L67" s="38"/>
      <c r="M67" s="36"/>
      <c r="N67" s="37" t="s">
        <v>162</v>
      </c>
      <c r="O67" s="37"/>
      <c r="P67" s="37"/>
      <c r="Q67" s="37"/>
      <c r="R67" s="38"/>
      <c r="S67" s="36"/>
      <c r="T67" s="37" t="s">
        <v>162</v>
      </c>
      <c r="U67" s="37"/>
      <c r="V67" s="37"/>
      <c r="W67" s="37"/>
      <c r="X67" s="38"/>
      <c r="Y67" s="36"/>
      <c r="Z67" s="37" t="s">
        <v>162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市场预测!N33</f>
        <v>4</v>
      </c>
      <c r="E68" s="41"/>
      <c r="F68" s="41"/>
      <c r="G68" s="42"/>
      <c r="H68" s="12" t="s">
        <v>131</v>
      </c>
      <c r="I68" s="12"/>
      <c r="J68" s="43">
        <v>8.5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13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1.625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109.5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45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24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24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4</v>
      </c>
      <c r="D73" s="28"/>
      <c r="E73" s="29"/>
      <c r="F73" s="23"/>
      <c r="G73" s="19"/>
      <c r="H73" s="20" t="s">
        <v>123</v>
      </c>
      <c r="I73" s="27">
        <f ca="1">IF(D91&gt;=2,RANDBETWEEN(D92,J92),0)</f>
        <v>2</v>
      </c>
      <c r="J73" s="28"/>
      <c r="K73" s="29"/>
      <c r="L73" s="23"/>
      <c r="M73" s="19"/>
      <c r="N73" s="20" t="s">
        <v>123</v>
      </c>
      <c r="O73" s="27">
        <f ca="1">IF(D91&gt;=3,RANDBETWEEN(D92,J92),0)</f>
        <v>2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11.25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12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12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3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4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3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162</v>
      </c>
      <c r="C76" s="31"/>
      <c r="D76" s="31"/>
      <c r="E76" s="31"/>
      <c r="F76" s="32"/>
      <c r="G76" s="19"/>
      <c r="H76" s="31" t="s">
        <v>162</v>
      </c>
      <c r="I76" s="31"/>
      <c r="J76" s="31"/>
      <c r="K76" s="31"/>
      <c r="L76" s="32"/>
      <c r="M76" s="19"/>
      <c r="N76" s="31" t="s">
        <v>162</v>
      </c>
      <c r="O76" s="31"/>
      <c r="P76" s="31"/>
      <c r="Q76" s="31"/>
      <c r="R76" s="32"/>
      <c r="S76" s="19"/>
      <c r="T76" s="31" t="s">
        <v>162</v>
      </c>
      <c r="U76" s="31"/>
      <c r="V76" s="31"/>
      <c r="W76" s="31"/>
      <c r="X76" s="32"/>
      <c r="Y76" s="19"/>
      <c r="Z76" s="31" t="s">
        <v>162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162</v>
      </c>
      <c r="C83" s="31"/>
      <c r="D83" s="31"/>
      <c r="E83" s="31"/>
      <c r="F83" s="32"/>
      <c r="G83" s="19"/>
      <c r="H83" s="31" t="s">
        <v>162</v>
      </c>
      <c r="I83" s="31"/>
      <c r="J83" s="31"/>
      <c r="K83" s="31"/>
      <c r="L83" s="32"/>
      <c r="M83" s="19"/>
      <c r="N83" s="31" t="s">
        <v>162</v>
      </c>
      <c r="O83" s="31"/>
      <c r="P83" s="31"/>
      <c r="Q83" s="31"/>
      <c r="R83" s="32"/>
      <c r="S83" s="19"/>
      <c r="T83" s="31" t="s">
        <v>162</v>
      </c>
      <c r="U83" s="31"/>
      <c r="V83" s="31"/>
      <c r="W83" s="31"/>
      <c r="X83" s="32"/>
      <c r="Y83" s="19"/>
      <c r="Z83" s="31" t="s">
        <v>162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162</v>
      </c>
      <c r="C90" s="37"/>
      <c r="D90" s="37"/>
      <c r="E90" s="37"/>
      <c r="F90" s="38"/>
      <c r="G90" s="36"/>
      <c r="H90" s="37" t="s">
        <v>162</v>
      </c>
      <c r="I90" s="37"/>
      <c r="J90" s="37"/>
      <c r="K90" s="37"/>
      <c r="L90" s="38"/>
      <c r="M90" s="36"/>
      <c r="N90" s="37" t="s">
        <v>162</v>
      </c>
      <c r="O90" s="37"/>
      <c r="P90" s="37"/>
      <c r="Q90" s="37"/>
      <c r="R90" s="38"/>
      <c r="S90" s="36"/>
      <c r="T90" s="37" t="s">
        <v>162</v>
      </c>
      <c r="U90" s="37"/>
      <c r="V90" s="37"/>
      <c r="W90" s="37"/>
      <c r="X90" s="38"/>
      <c r="Y90" s="36"/>
      <c r="Z90" s="37" t="s">
        <v>162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市场预测!O33</f>
        <v>3</v>
      </c>
      <c r="E91" s="41"/>
      <c r="F91" s="41"/>
      <c r="G91" s="42"/>
      <c r="H91" s="12" t="s">
        <v>131</v>
      </c>
      <c r="I91" s="12"/>
      <c r="J91" s="43">
        <v>11.5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8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93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AX92"/>
  <sheetViews>
    <sheetView view="pageBreakPreview" zoomScale="55" zoomScaleNormal="85" topLeftCell="A77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13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'6年全国'!AN3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2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'6年全国'!AN4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6.5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'6年全国'!AN5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3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'6年全国'!AN6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163</v>
      </c>
      <c r="C7" s="31"/>
      <c r="D7" s="31"/>
      <c r="E7" s="31"/>
      <c r="F7" s="32"/>
      <c r="G7" s="19"/>
      <c r="H7" s="31" t="s">
        <v>163</v>
      </c>
      <c r="I7" s="31"/>
      <c r="J7" s="31"/>
      <c r="K7" s="31"/>
      <c r="L7" s="32"/>
      <c r="M7" s="19"/>
      <c r="N7" s="31" t="s">
        <v>163</v>
      </c>
      <c r="O7" s="31"/>
      <c r="P7" s="31"/>
      <c r="Q7" s="31"/>
      <c r="R7" s="32"/>
      <c r="S7" s="19"/>
      <c r="T7" s="31" t="s">
        <v>163</v>
      </c>
      <c r="U7" s="31"/>
      <c r="V7" s="31"/>
      <c r="W7" s="31"/>
      <c r="X7" s="32"/>
      <c r="Y7" s="19"/>
      <c r="Z7" s="31" t="s">
        <v>163</v>
      </c>
      <c r="AA7" s="31"/>
      <c r="AB7" s="31"/>
      <c r="AC7" s="31"/>
      <c r="AD7" s="32"/>
      <c r="AE7" s="33"/>
      <c r="AF7" s="15"/>
      <c r="AG7" s="8" t="s">
        <v>55</v>
      </c>
      <c r="AH7" s="24">
        <f>'6年全国'!AN7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'6年全国'!AN8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'6年全国'!AN9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'6年全国'!AN10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'6年全国'!AN11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'6年全国'!AN12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'6年全国'!AN13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163</v>
      </c>
      <c r="C14" s="31"/>
      <c r="D14" s="31"/>
      <c r="E14" s="31"/>
      <c r="F14" s="32"/>
      <c r="G14" s="19"/>
      <c r="H14" s="31" t="s">
        <v>163</v>
      </c>
      <c r="I14" s="31"/>
      <c r="J14" s="31"/>
      <c r="K14" s="31"/>
      <c r="L14" s="32"/>
      <c r="M14" s="19"/>
      <c r="N14" s="31" t="s">
        <v>163</v>
      </c>
      <c r="O14" s="31"/>
      <c r="P14" s="31"/>
      <c r="Q14" s="31"/>
      <c r="R14" s="32"/>
      <c r="S14" s="19"/>
      <c r="T14" s="31" t="s">
        <v>163</v>
      </c>
      <c r="U14" s="31"/>
      <c r="V14" s="31"/>
      <c r="W14" s="31"/>
      <c r="X14" s="32"/>
      <c r="Y14" s="19"/>
      <c r="Z14" s="31" t="s">
        <v>163</v>
      </c>
      <c r="AA14" s="31"/>
      <c r="AB14" s="31"/>
      <c r="AC14" s="31"/>
      <c r="AD14" s="32"/>
      <c r="AE14" s="33"/>
      <c r="AF14" s="15"/>
      <c r="AG14" s="8" t="s">
        <v>62</v>
      </c>
      <c r="AH14" s="24">
        <f>'6年全国'!AN14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'6年全国'!AN15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'6年全国'!AN16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'6年全国'!AN17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163</v>
      </c>
      <c r="C21" s="37"/>
      <c r="D21" s="37"/>
      <c r="E21" s="37"/>
      <c r="F21" s="38"/>
      <c r="G21" s="36"/>
      <c r="H21" s="37" t="s">
        <v>163</v>
      </c>
      <c r="I21" s="37"/>
      <c r="J21" s="37"/>
      <c r="K21" s="37"/>
      <c r="L21" s="38"/>
      <c r="M21" s="36"/>
      <c r="N21" s="37" t="s">
        <v>163</v>
      </c>
      <c r="O21" s="37"/>
      <c r="P21" s="37"/>
      <c r="Q21" s="37"/>
      <c r="R21" s="38"/>
      <c r="S21" s="36"/>
      <c r="T21" s="37" t="s">
        <v>163</v>
      </c>
      <c r="U21" s="37"/>
      <c r="V21" s="37"/>
      <c r="W21" s="37"/>
      <c r="X21" s="38"/>
      <c r="Y21" s="36"/>
      <c r="Z21" s="37" t="s">
        <v>163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市场预测!L43</f>
        <v>1</v>
      </c>
      <c r="E22" s="41"/>
      <c r="F22" s="41"/>
      <c r="G22" s="42"/>
      <c r="H22" s="12" t="s">
        <v>131</v>
      </c>
      <c r="I22" s="12"/>
      <c r="J22" s="43">
        <v>6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2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0.25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13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21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21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15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3</v>
      </c>
      <c r="J27" s="28"/>
      <c r="K27" s="29"/>
      <c r="L27" s="23"/>
      <c r="M27" s="19"/>
      <c r="N27" s="20" t="s">
        <v>123</v>
      </c>
      <c r="O27" s="27">
        <f ca="1">IF(D45&gt;=3,RANDBETWEEN(D46,J46),0)</f>
        <v>2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7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7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7.5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2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4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3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163</v>
      </c>
      <c r="C30" s="31"/>
      <c r="D30" s="31"/>
      <c r="E30" s="31"/>
      <c r="F30" s="32"/>
      <c r="G30" s="19"/>
      <c r="H30" s="31" t="s">
        <v>163</v>
      </c>
      <c r="I30" s="31"/>
      <c r="J30" s="31"/>
      <c r="K30" s="31"/>
      <c r="L30" s="32"/>
      <c r="M30" s="19"/>
      <c r="N30" s="31" t="s">
        <v>163</v>
      </c>
      <c r="O30" s="31"/>
      <c r="P30" s="31"/>
      <c r="Q30" s="31"/>
      <c r="R30" s="32"/>
      <c r="S30" s="19"/>
      <c r="T30" s="31" t="s">
        <v>163</v>
      </c>
      <c r="U30" s="31"/>
      <c r="V30" s="31"/>
      <c r="W30" s="31"/>
      <c r="X30" s="32"/>
      <c r="Y30" s="19"/>
      <c r="Z30" s="31" t="s">
        <v>163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163</v>
      </c>
      <c r="C37" s="31"/>
      <c r="D37" s="31"/>
      <c r="E37" s="31"/>
      <c r="F37" s="32"/>
      <c r="G37" s="19"/>
      <c r="H37" s="31" t="s">
        <v>163</v>
      </c>
      <c r="I37" s="31"/>
      <c r="J37" s="31"/>
      <c r="K37" s="31"/>
      <c r="L37" s="32"/>
      <c r="M37" s="19"/>
      <c r="N37" s="31" t="s">
        <v>163</v>
      </c>
      <c r="O37" s="31"/>
      <c r="P37" s="31"/>
      <c r="Q37" s="31"/>
      <c r="R37" s="32"/>
      <c r="S37" s="19"/>
      <c r="T37" s="31" t="s">
        <v>163</v>
      </c>
      <c r="U37" s="31"/>
      <c r="V37" s="31"/>
      <c r="W37" s="31"/>
      <c r="X37" s="32"/>
      <c r="Y37" s="19"/>
      <c r="Z37" s="31" t="s">
        <v>163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163</v>
      </c>
      <c r="C44" s="37"/>
      <c r="D44" s="37"/>
      <c r="E44" s="37"/>
      <c r="F44" s="38"/>
      <c r="G44" s="36"/>
      <c r="H44" s="37" t="s">
        <v>163</v>
      </c>
      <c r="I44" s="37"/>
      <c r="J44" s="37"/>
      <c r="K44" s="37"/>
      <c r="L44" s="38"/>
      <c r="M44" s="36"/>
      <c r="N44" s="37" t="s">
        <v>163</v>
      </c>
      <c r="O44" s="37"/>
      <c r="P44" s="37"/>
      <c r="Q44" s="37"/>
      <c r="R44" s="38"/>
      <c r="S44" s="36"/>
      <c r="T44" s="37" t="s">
        <v>163</v>
      </c>
      <c r="U44" s="37"/>
      <c r="V44" s="37"/>
      <c r="W44" s="37"/>
      <c r="X44" s="38"/>
      <c r="Y44" s="36"/>
      <c r="Z44" s="37" t="s">
        <v>163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市场预测!M43</f>
        <v>3</v>
      </c>
      <c r="E45" s="41"/>
      <c r="F45" s="41"/>
      <c r="G45" s="42"/>
      <c r="H45" s="12" t="s">
        <v>131</v>
      </c>
      <c r="I45" s="12"/>
      <c r="J45" s="43">
        <v>7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8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57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35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35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19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19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4</v>
      </c>
      <c r="D50" s="28"/>
      <c r="E50" s="29"/>
      <c r="F50" s="23"/>
      <c r="G50" s="19"/>
      <c r="H50" s="20" t="s">
        <v>123</v>
      </c>
      <c r="I50" s="27">
        <f ca="1">IF(D68&gt;=2,RANDBETWEEN(D69,J69),0)</f>
        <v>4</v>
      </c>
      <c r="J50" s="28"/>
      <c r="K50" s="29"/>
      <c r="L50" s="23"/>
      <c r="M50" s="19"/>
      <c r="N50" s="20" t="s">
        <v>123</v>
      </c>
      <c r="O50" s="27">
        <f ca="1">IF(D68&gt;=3,RANDBETWEEN(D69,J69),0)</f>
        <v>2</v>
      </c>
      <c r="P50" s="28"/>
      <c r="Q50" s="29"/>
      <c r="R50" s="23"/>
      <c r="S50" s="19"/>
      <c r="T50" s="20" t="s">
        <v>123</v>
      </c>
      <c r="U50" s="27">
        <f ca="1">IF(D68&gt;=4,RANDBETWEEN(D69,J69),0)</f>
        <v>2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8.75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8.75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9.5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9.5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2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2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4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2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163</v>
      </c>
      <c r="C53" s="31"/>
      <c r="D53" s="31"/>
      <c r="E53" s="31"/>
      <c r="F53" s="32"/>
      <c r="G53" s="19"/>
      <c r="H53" s="31" t="s">
        <v>163</v>
      </c>
      <c r="I53" s="31"/>
      <c r="J53" s="31"/>
      <c r="K53" s="31"/>
      <c r="L53" s="32"/>
      <c r="M53" s="19"/>
      <c r="N53" s="31" t="s">
        <v>163</v>
      </c>
      <c r="O53" s="31"/>
      <c r="P53" s="31"/>
      <c r="Q53" s="31"/>
      <c r="R53" s="32"/>
      <c r="S53" s="19"/>
      <c r="T53" s="31" t="s">
        <v>163</v>
      </c>
      <c r="U53" s="31"/>
      <c r="V53" s="31"/>
      <c r="W53" s="31"/>
      <c r="X53" s="32"/>
      <c r="Y53" s="19"/>
      <c r="Z53" s="31" t="s">
        <v>163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163</v>
      </c>
      <c r="C60" s="31"/>
      <c r="D60" s="31"/>
      <c r="E60" s="31"/>
      <c r="F60" s="32"/>
      <c r="G60" s="19"/>
      <c r="H60" s="31" t="s">
        <v>163</v>
      </c>
      <c r="I60" s="31"/>
      <c r="J60" s="31"/>
      <c r="K60" s="31"/>
      <c r="L60" s="32"/>
      <c r="M60" s="19"/>
      <c r="N60" s="31" t="s">
        <v>163</v>
      </c>
      <c r="O60" s="31"/>
      <c r="P60" s="31"/>
      <c r="Q60" s="31"/>
      <c r="R60" s="32"/>
      <c r="S60" s="19"/>
      <c r="T60" s="31" t="s">
        <v>163</v>
      </c>
      <c r="U60" s="31"/>
      <c r="V60" s="31"/>
      <c r="W60" s="31"/>
      <c r="X60" s="32"/>
      <c r="Y60" s="19"/>
      <c r="Z60" s="31" t="s">
        <v>163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163</v>
      </c>
      <c r="C67" s="37"/>
      <c r="D67" s="37"/>
      <c r="E67" s="37"/>
      <c r="F67" s="38"/>
      <c r="G67" s="36"/>
      <c r="H67" s="37" t="s">
        <v>163</v>
      </c>
      <c r="I67" s="37"/>
      <c r="J67" s="37"/>
      <c r="K67" s="37"/>
      <c r="L67" s="38"/>
      <c r="M67" s="36"/>
      <c r="N67" s="37" t="s">
        <v>163</v>
      </c>
      <c r="O67" s="37"/>
      <c r="P67" s="37"/>
      <c r="Q67" s="37"/>
      <c r="R67" s="38"/>
      <c r="S67" s="36"/>
      <c r="T67" s="37" t="s">
        <v>163</v>
      </c>
      <c r="U67" s="37"/>
      <c r="V67" s="37"/>
      <c r="W67" s="37"/>
      <c r="X67" s="38"/>
      <c r="Y67" s="36"/>
      <c r="Z67" s="37" t="s">
        <v>163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市场预测!N43</f>
        <v>4</v>
      </c>
      <c r="E68" s="41"/>
      <c r="F68" s="41"/>
      <c r="G68" s="42"/>
      <c r="H68" s="12" t="s">
        <v>131</v>
      </c>
      <c r="I68" s="12"/>
      <c r="J68" s="43">
        <v>9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12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108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25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25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25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2</v>
      </c>
      <c r="D73" s="28"/>
      <c r="E73" s="29"/>
      <c r="F73" s="23"/>
      <c r="G73" s="19"/>
      <c r="H73" s="20" t="s">
        <v>123</v>
      </c>
      <c r="I73" s="27">
        <f ca="1">IF(D91&gt;=2,RANDBETWEEN(D92,J92),0)</f>
        <v>2</v>
      </c>
      <c r="J73" s="28"/>
      <c r="K73" s="29"/>
      <c r="L73" s="23"/>
      <c r="M73" s="19"/>
      <c r="N73" s="20" t="s">
        <v>123</v>
      </c>
      <c r="O73" s="27">
        <f ca="1">IF(D91&gt;=3,RANDBETWEEN(D92,J92),0)</f>
        <v>2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12.5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12.5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12.5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3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4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4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163</v>
      </c>
      <c r="C76" s="31"/>
      <c r="D76" s="31"/>
      <c r="E76" s="31"/>
      <c r="F76" s="32"/>
      <c r="G76" s="19"/>
      <c r="H76" s="31" t="s">
        <v>163</v>
      </c>
      <c r="I76" s="31"/>
      <c r="J76" s="31"/>
      <c r="K76" s="31"/>
      <c r="L76" s="32"/>
      <c r="M76" s="19"/>
      <c r="N76" s="31" t="s">
        <v>163</v>
      </c>
      <c r="O76" s="31"/>
      <c r="P76" s="31"/>
      <c r="Q76" s="31"/>
      <c r="R76" s="32"/>
      <c r="S76" s="19"/>
      <c r="T76" s="31" t="s">
        <v>163</v>
      </c>
      <c r="U76" s="31"/>
      <c r="V76" s="31"/>
      <c r="W76" s="31"/>
      <c r="X76" s="32"/>
      <c r="Y76" s="19"/>
      <c r="Z76" s="31" t="s">
        <v>163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163</v>
      </c>
      <c r="C83" s="31"/>
      <c r="D83" s="31"/>
      <c r="E83" s="31"/>
      <c r="F83" s="32"/>
      <c r="G83" s="19"/>
      <c r="H83" s="31" t="s">
        <v>163</v>
      </c>
      <c r="I83" s="31"/>
      <c r="J83" s="31"/>
      <c r="K83" s="31"/>
      <c r="L83" s="32"/>
      <c r="M83" s="19"/>
      <c r="N83" s="31" t="s">
        <v>163</v>
      </c>
      <c r="O83" s="31"/>
      <c r="P83" s="31"/>
      <c r="Q83" s="31"/>
      <c r="R83" s="32"/>
      <c r="S83" s="19"/>
      <c r="T83" s="31" t="s">
        <v>163</v>
      </c>
      <c r="U83" s="31"/>
      <c r="V83" s="31"/>
      <c r="W83" s="31"/>
      <c r="X83" s="32"/>
      <c r="Y83" s="19"/>
      <c r="Z83" s="31" t="s">
        <v>163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163</v>
      </c>
      <c r="C90" s="37"/>
      <c r="D90" s="37"/>
      <c r="E90" s="37"/>
      <c r="F90" s="38"/>
      <c r="G90" s="36"/>
      <c r="H90" s="37" t="s">
        <v>163</v>
      </c>
      <c r="I90" s="37"/>
      <c r="J90" s="37"/>
      <c r="K90" s="37"/>
      <c r="L90" s="38"/>
      <c r="M90" s="36"/>
      <c r="N90" s="37" t="s">
        <v>163</v>
      </c>
      <c r="O90" s="37"/>
      <c r="P90" s="37"/>
      <c r="Q90" s="37"/>
      <c r="R90" s="38"/>
      <c r="S90" s="36"/>
      <c r="T90" s="37" t="s">
        <v>163</v>
      </c>
      <c r="U90" s="37"/>
      <c r="V90" s="37"/>
      <c r="W90" s="37"/>
      <c r="X90" s="38"/>
      <c r="Y90" s="36"/>
      <c r="Z90" s="37" t="s">
        <v>163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市场预测!O43</f>
        <v>3</v>
      </c>
      <c r="E91" s="41"/>
      <c r="F91" s="41"/>
      <c r="G91" s="42"/>
      <c r="H91" s="12" t="s">
        <v>131</v>
      </c>
      <c r="I91" s="12"/>
      <c r="J91" s="43">
        <v>12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6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0.75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75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AX92"/>
  <sheetViews>
    <sheetView view="pageBreakPreview" zoomScale="55" zoomScaleNormal="85" topLeftCell="A1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21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'6年全球'!AN3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3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'6年全球'!AN4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7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'6年全球'!AN5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'6年全球'!AN6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164</v>
      </c>
      <c r="C7" s="31"/>
      <c r="D7" s="31"/>
      <c r="E7" s="31"/>
      <c r="F7" s="32"/>
      <c r="G7" s="19"/>
      <c r="H7" s="31" t="s">
        <v>164</v>
      </c>
      <c r="I7" s="31"/>
      <c r="J7" s="31"/>
      <c r="K7" s="31"/>
      <c r="L7" s="32"/>
      <c r="M7" s="19"/>
      <c r="N7" s="31" t="s">
        <v>164</v>
      </c>
      <c r="O7" s="31"/>
      <c r="P7" s="31"/>
      <c r="Q7" s="31"/>
      <c r="R7" s="32"/>
      <c r="S7" s="19"/>
      <c r="T7" s="31" t="s">
        <v>164</v>
      </c>
      <c r="U7" s="31"/>
      <c r="V7" s="31"/>
      <c r="W7" s="31"/>
      <c r="X7" s="32"/>
      <c r="Y7" s="19"/>
      <c r="Z7" s="31" t="s">
        <v>164</v>
      </c>
      <c r="AA7" s="31"/>
      <c r="AB7" s="31"/>
      <c r="AC7" s="31"/>
      <c r="AD7" s="32"/>
      <c r="AE7" s="33"/>
      <c r="AF7" s="15"/>
      <c r="AG7" s="8" t="s">
        <v>55</v>
      </c>
      <c r="AH7" s="24">
        <f>'6年全球'!AN7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'6年全球'!AN8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'6年全球'!AN9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'6年全球'!AN10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'6年全球'!AN11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'6年全球'!AN12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'6年全球'!AN13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164</v>
      </c>
      <c r="C14" s="31"/>
      <c r="D14" s="31"/>
      <c r="E14" s="31"/>
      <c r="F14" s="32"/>
      <c r="G14" s="19"/>
      <c r="H14" s="31" t="s">
        <v>164</v>
      </c>
      <c r="I14" s="31"/>
      <c r="J14" s="31"/>
      <c r="K14" s="31"/>
      <c r="L14" s="32"/>
      <c r="M14" s="19"/>
      <c r="N14" s="31" t="s">
        <v>164</v>
      </c>
      <c r="O14" s="31"/>
      <c r="P14" s="31"/>
      <c r="Q14" s="31"/>
      <c r="R14" s="32"/>
      <c r="S14" s="19"/>
      <c r="T14" s="31" t="s">
        <v>164</v>
      </c>
      <c r="U14" s="31"/>
      <c r="V14" s="31"/>
      <c r="W14" s="31"/>
      <c r="X14" s="32"/>
      <c r="Y14" s="19"/>
      <c r="Z14" s="31" t="s">
        <v>164</v>
      </c>
      <c r="AA14" s="31"/>
      <c r="AB14" s="31"/>
      <c r="AC14" s="31"/>
      <c r="AD14" s="32"/>
      <c r="AE14" s="33"/>
      <c r="AF14" s="15"/>
      <c r="AG14" s="8" t="s">
        <v>62</v>
      </c>
      <c r="AH14" s="24">
        <f>'6年全球'!AN14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'6年全球'!AN15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'6年全球'!AN16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'6年全球'!AN17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164</v>
      </c>
      <c r="C21" s="37"/>
      <c r="D21" s="37"/>
      <c r="E21" s="37"/>
      <c r="F21" s="38"/>
      <c r="G21" s="36"/>
      <c r="H21" s="37" t="s">
        <v>164</v>
      </c>
      <c r="I21" s="37"/>
      <c r="J21" s="37"/>
      <c r="K21" s="37"/>
      <c r="L21" s="38"/>
      <c r="M21" s="36"/>
      <c r="N21" s="37" t="s">
        <v>164</v>
      </c>
      <c r="O21" s="37"/>
      <c r="P21" s="37"/>
      <c r="Q21" s="37"/>
      <c r="R21" s="38"/>
      <c r="S21" s="36"/>
      <c r="T21" s="37" t="s">
        <v>164</v>
      </c>
      <c r="U21" s="37"/>
      <c r="V21" s="37"/>
      <c r="W21" s="37"/>
      <c r="X21" s="38"/>
      <c r="Y21" s="36"/>
      <c r="Z21" s="37" t="s">
        <v>164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市场预测!L53</f>
        <v>1</v>
      </c>
      <c r="E22" s="41"/>
      <c r="F22" s="41"/>
      <c r="G22" s="42"/>
      <c r="H22" s="12" t="s">
        <v>131</v>
      </c>
      <c r="I22" s="12"/>
      <c r="J22" s="43">
        <v>7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3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0.375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21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17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24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24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2</v>
      </c>
      <c r="D27" s="28"/>
      <c r="E27" s="29"/>
      <c r="F27" s="23"/>
      <c r="G27" s="19"/>
      <c r="H27" s="20" t="s">
        <v>123</v>
      </c>
      <c r="I27" s="27">
        <f ca="1">IF(D45&gt;=2,RANDBETWEEN(D46,J46),0)</f>
        <v>3</v>
      </c>
      <c r="J27" s="28"/>
      <c r="K27" s="29"/>
      <c r="L27" s="23"/>
      <c r="M27" s="19"/>
      <c r="N27" s="20" t="s">
        <v>123</v>
      </c>
      <c r="O27" s="27">
        <f ca="1">IF(D45&gt;=3,RANDBETWEEN(D46,J46),0)</f>
        <v>3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8.5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8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8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4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2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2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164</v>
      </c>
      <c r="C30" s="31"/>
      <c r="D30" s="31"/>
      <c r="E30" s="31"/>
      <c r="F30" s="32"/>
      <c r="G30" s="19"/>
      <c r="H30" s="31" t="s">
        <v>164</v>
      </c>
      <c r="I30" s="31"/>
      <c r="J30" s="31"/>
      <c r="K30" s="31"/>
      <c r="L30" s="32"/>
      <c r="M30" s="19"/>
      <c r="N30" s="31" t="s">
        <v>164</v>
      </c>
      <c r="O30" s="31"/>
      <c r="P30" s="31"/>
      <c r="Q30" s="31"/>
      <c r="R30" s="32"/>
      <c r="S30" s="19"/>
      <c r="T30" s="31" t="s">
        <v>164</v>
      </c>
      <c r="U30" s="31"/>
      <c r="V30" s="31"/>
      <c r="W30" s="31"/>
      <c r="X30" s="32"/>
      <c r="Y30" s="19"/>
      <c r="Z30" s="31" t="s">
        <v>164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164</v>
      </c>
      <c r="C37" s="31"/>
      <c r="D37" s="31"/>
      <c r="E37" s="31"/>
      <c r="F37" s="32"/>
      <c r="G37" s="19"/>
      <c r="H37" s="31" t="s">
        <v>164</v>
      </c>
      <c r="I37" s="31"/>
      <c r="J37" s="31"/>
      <c r="K37" s="31"/>
      <c r="L37" s="32"/>
      <c r="M37" s="19"/>
      <c r="N37" s="31" t="s">
        <v>164</v>
      </c>
      <c r="O37" s="31"/>
      <c r="P37" s="31"/>
      <c r="Q37" s="31"/>
      <c r="R37" s="32"/>
      <c r="S37" s="19"/>
      <c r="T37" s="31" t="s">
        <v>164</v>
      </c>
      <c r="U37" s="31"/>
      <c r="V37" s="31"/>
      <c r="W37" s="31"/>
      <c r="X37" s="32"/>
      <c r="Y37" s="19"/>
      <c r="Z37" s="31" t="s">
        <v>164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164</v>
      </c>
      <c r="C44" s="37"/>
      <c r="D44" s="37"/>
      <c r="E44" s="37"/>
      <c r="F44" s="38"/>
      <c r="G44" s="36"/>
      <c r="H44" s="37" t="s">
        <v>164</v>
      </c>
      <c r="I44" s="37"/>
      <c r="J44" s="37"/>
      <c r="K44" s="37"/>
      <c r="L44" s="38"/>
      <c r="M44" s="36"/>
      <c r="N44" s="37" t="s">
        <v>164</v>
      </c>
      <c r="O44" s="37"/>
      <c r="P44" s="37"/>
      <c r="Q44" s="37"/>
      <c r="R44" s="38"/>
      <c r="S44" s="36"/>
      <c r="T44" s="37" t="s">
        <v>164</v>
      </c>
      <c r="U44" s="37"/>
      <c r="V44" s="37"/>
      <c r="W44" s="37"/>
      <c r="X44" s="38"/>
      <c r="Y44" s="36"/>
      <c r="Z44" s="37" t="s">
        <v>164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市场预测!M53</f>
        <v>3</v>
      </c>
      <c r="E45" s="41"/>
      <c r="F45" s="41"/>
      <c r="G45" s="42"/>
      <c r="H45" s="12" t="s">
        <v>131</v>
      </c>
      <c r="I45" s="12"/>
      <c r="J45" s="43">
        <v>8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8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65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39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30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21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21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4</v>
      </c>
      <c r="D50" s="28"/>
      <c r="E50" s="29"/>
      <c r="F50" s="23"/>
      <c r="G50" s="19"/>
      <c r="H50" s="20" t="s">
        <v>123</v>
      </c>
      <c r="I50" s="27">
        <f ca="1">IF(D68&gt;=2,RANDBETWEEN(D69,J69),0)</f>
        <v>3</v>
      </c>
      <c r="J50" s="28"/>
      <c r="K50" s="29"/>
      <c r="L50" s="23"/>
      <c r="M50" s="19"/>
      <c r="N50" s="20" t="s">
        <v>123</v>
      </c>
      <c r="O50" s="27">
        <f ca="1">IF(D68&gt;=3,RANDBETWEEN(D69,J69),0)</f>
        <v>3</v>
      </c>
      <c r="P50" s="28"/>
      <c r="Q50" s="29"/>
      <c r="R50" s="23"/>
      <c r="S50" s="19"/>
      <c r="T50" s="20" t="s">
        <v>123</v>
      </c>
      <c r="U50" s="27">
        <f ca="1">IF(D68&gt;=4,RANDBETWEEN(D69,J69),0)</f>
        <v>2</v>
      </c>
      <c r="V50" s="28"/>
      <c r="W50" s="29"/>
      <c r="X50" s="23"/>
      <c r="Y50" s="19"/>
      <c r="Z50" s="20" t="s">
        <v>123</v>
      </c>
      <c r="AA50" s="27">
        <f ca="1">IF(D68&gt;=5,RANDBETWEEN(D69,J69),0)</f>
        <v>2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9.75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10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10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10.5</v>
      </c>
      <c r="V51" s="22" t="s">
        <v>121</v>
      </c>
      <c r="W51" s="22"/>
      <c r="X51" s="23"/>
      <c r="Y51" s="19"/>
      <c r="Z51" s="20" t="s">
        <v>124</v>
      </c>
      <c r="AA51" s="30">
        <f ca="1">AA49/AA50</f>
        <v>10.5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4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2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3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3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164</v>
      </c>
      <c r="C53" s="31"/>
      <c r="D53" s="31"/>
      <c r="E53" s="31"/>
      <c r="F53" s="32"/>
      <c r="G53" s="19"/>
      <c r="H53" s="31" t="s">
        <v>164</v>
      </c>
      <c r="I53" s="31"/>
      <c r="J53" s="31"/>
      <c r="K53" s="31"/>
      <c r="L53" s="32"/>
      <c r="M53" s="19"/>
      <c r="N53" s="31" t="s">
        <v>164</v>
      </c>
      <c r="O53" s="31"/>
      <c r="P53" s="31"/>
      <c r="Q53" s="31"/>
      <c r="R53" s="32"/>
      <c r="S53" s="19"/>
      <c r="T53" s="31" t="s">
        <v>164</v>
      </c>
      <c r="U53" s="31"/>
      <c r="V53" s="31"/>
      <c r="W53" s="31"/>
      <c r="X53" s="32"/>
      <c r="Y53" s="19"/>
      <c r="Z53" s="31" t="s">
        <v>164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164</v>
      </c>
      <c r="C60" s="31"/>
      <c r="D60" s="31"/>
      <c r="E60" s="31"/>
      <c r="F60" s="32"/>
      <c r="G60" s="19"/>
      <c r="H60" s="31" t="s">
        <v>164</v>
      </c>
      <c r="I60" s="31"/>
      <c r="J60" s="31"/>
      <c r="K60" s="31"/>
      <c r="L60" s="32"/>
      <c r="M60" s="19"/>
      <c r="N60" s="31" t="s">
        <v>164</v>
      </c>
      <c r="O60" s="31"/>
      <c r="P60" s="31"/>
      <c r="Q60" s="31"/>
      <c r="R60" s="32"/>
      <c r="S60" s="19"/>
      <c r="T60" s="31" t="s">
        <v>164</v>
      </c>
      <c r="U60" s="31"/>
      <c r="V60" s="31"/>
      <c r="W60" s="31"/>
      <c r="X60" s="32"/>
      <c r="Y60" s="19"/>
      <c r="Z60" s="31" t="s">
        <v>164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164</v>
      </c>
      <c r="C67" s="37"/>
      <c r="D67" s="37"/>
      <c r="E67" s="37"/>
      <c r="F67" s="38"/>
      <c r="G67" s="36"/>
      <c r="H67" s="37" t="s">
        <v>164</v>
      </c>
      <c r="I67" s="37"/>
      <c r="J67" s="37"/>
      <c r="K67" s="37"/>
      <c r="L67" s="38"/>
      <c r="M67" s="36"/>
      <c r="N67" s="37" t="s">
        <v>164</v>
      </c>
      <c r="O67" s="37"/>
      <c r="P67" s="37"/>
      <c r="Q67" s="37"/>
      <c r="R67" s="38"/>
      <c r="S67" s="36"/>
      <c r="T67" s="37" t="s">
        <v>164</v>
      </c>
      <c r="U67" s="37"/>
      <c r="V67" s="37"/>
      <c r="W67" s="37"/>
      <c r="X67" s="38"/>
      <c r="Y67" s="36"/>
      <c r="Z67" s="37" t="s">
        <v>164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市场预测!N53</f>
        <v>5</v>
      </c>
      <c r="E68" s="41"/>
      <c r="F68" s="41"/>
      <c r="G68" s="42"/>
      <c r="H68" s="12" t="s">
        <v>131</v>
      </c>
      <c r="I68" s="12"/>
      <c r="J68" s="43">
        <v>10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14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141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39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39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51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0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3</v>
      </c>
      <c r="D73" s="28"/>
      <c r="E73" s="29"/>
      <c r="F73" s="23"/>
      <c r="G73" s="19"/>
      <c r="H73" s="20" t="s">
        <v>123</v>
      </c>
      <c r="I73" s="27">
        <f ca="1">IF(D91&gt;=2,RANDBETWEEN(D92,J92),0)</f>
        <v>3</v>
      </c>
      <c r="J73" s="28"/>
      <c r="K73" s="29"/>
      <c r="L73" s="23"/>
      <c r="M73" s="19"/>
      <c r="N73" s="20" t="s">
        <v>123</v>
      </c>
      <c r="O73" s="27">
        <f ca="1">IF(D91&gt;=3,RANDBETWEEN(D92,J92),0)</f>
        <v>4</v>
      </c>
      <c r="P73" s="28"/>
      <c r="Q73" s="29"/>
      <c r="R73" s="23"/>
      <c r="S73" s="19"/>
      <c r="T73" s="20" t="s">
        <v>123</v>
      </c>
      <c r="U73" s="27">
        <f ca="1">IF(D91&gt;=4,RANDBETWEEN(D92,J92),0)</f>
        <v>0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13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13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12.75</v>
      </c>
      <c r="P74" s="22" t="s">
        <v>121</v>
      </c>
      <c r="Q74" s="22"/>
      <c r="R74" s="23"/>
      <c r="S74" s="19"/>
      <c r="T74" s="20" t="s">
        <v>124</v>
      </c>
      <c r="U74" s="30" t="e">
        <f ca="1">U72/U73</f>
        <v>#DIV/0!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3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2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3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0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164</v>
      </c>
      <c r="C76" s="31"/>
      <c r="D76" s="31"/>
      <c r="E76" s="31"/>
      <c r="F76" s="32"/>
      <c r="G76" s="19"/>
      <c r="H76" s="31" t="s">
        <v>164</v>
      </c>
      <c r="I76" s="31"/>
      <c r="J76" s="31"/>
      <c r="K76" s="31"/>
      <c r="L76" s="32"/>
      <c r="M76" s="19"/>
      <c r="N76" s="31" t="s">
        <v>164</v>
      </c>
      <c r="O76" s="31"/>
      <c r="P76" s="31"/>
      <c r="Q76" s="31"/>
      <c r="R76" s="32"/>
      <c r="S76" s="19"/>
      <c r="T76" s="31" t="s">
        <v>164</v>
      </c>
      <c r="U76" s="31"/>
      <c r="V76" s="31"/>
      <c r="W76" s="31"/>
      <c r="X76" s="32"/>
      <c r="Y76" s="19"/>
      <c r="Z76" s="31" t="s">
        <v>164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164</v>
      </c>
      <c r="C83" s="31"/>
      <c r="D83" s="31"/>
      <c r="E83" s="31"/>
      <c r="F83" s="32"/>
      <c r="G83" s="19"/>
      <c r="H83" s="31" t="s">
        <v>164</v>
      </c>
      <c r="I83" s="31"/>
      <c r="J83" s="31"/>
      <c r="K83" s="31"/>
      <c r="L83" s="32"/>
      <c r="M83" s="19"/>
      <c r="N83" s="31" t="s">
        <v>164</v>
      </c>
      <c r="O83" s="31"/>
      <c r="P83" s="31"/>
      <c r="Q83" s="31"/>
      <c r="R83" s="32"/>
      <c r="S83" s="19"/>
      <c r="T83" s="31" t="s">
        <v>164</v>
      </c>
      <c r="U83" s="31"/>
      <c r="V83" s="31"/>
      <c r="W83" s="31"/>
      <c r="X83" s="32"/>
      <c r="Y83" s="19"/>
      <c r="Z83" s="31" t="s">
        <v>164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164</v>
      </c>
      <c r="C90" s="37"/>
      <c r="D90" s="37"/>
      <c r="E90" s="37"/>
      <c r="F90" s="38"/>
      <c r="G90" s="36"/>
      <c r="H90" s="37" t="s">
        <v>164</v>
      </c>
      <c r="I90" s="37"/>
      <c r="J90" s="37"/>
      <c r="K90" s="37"/>
      <c r="L90" s="38"/>
      <c r="M90" s="36"/>
      <c r="N90" s="37" t="s">
        <v>164</v>
      </c>
      <c r="O90" s="37"/>
      <c r="P90" s="37"/>
      <c r="Q90" s="37"/>
      <c r="R90" s="38"/>
      <c r="S90" s="36"/>
      <c r="T90" s="37" t="s">
        <v>164</v>
      </c>
      <c r="U90" s="37"/>
      <c r="V90" s="37"/>
      <c r="W90" s="37"/>
      <c r="X90" s="38"/>
      <c r="Y90" s="36"/>
      <c r="Z90" s="37" t="s">
        <v>164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市场预测!O53</f>
        <v>3</v>
      </c>
      <c r="E91" s="41"/>
      <c r="F91" s="41"/>
      <c r="G91" s="42"/>
      <c r="H91" s="12" t="s">
        <v>131</v>
      </c>
      <c r="I91" s="12"/>
      <c r="J91" s="43">
        <v>13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10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129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AX92"/>
  <sheetViews>
    <sheetView view="pageBreakPreview" zoomScale="55" zoomScaleNormal="85" topLeftCell="A70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0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'7年本地'!AN3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0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'7年本地'!AN4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 t="e">
        <f ca="1">C3/C4</f>
        <v>#DIV/0!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'7年本地'!AN5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0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'7年本地'!AN6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165</v>
      </c>
      <c r="C7" s="31"/>
      <c r="D7" s="31"/>
      <c r="E7" s="31"/>
      <c r="F7" s="32"/>
      <c r="G7" s="19"/>
      <c r="H7" s="31" t="s">
        <v>165</v>
      </c>
      <c r="I7" s="31"/>
      <c r="J7" s="31"/>
      <c r="K7" s="31"/>
      <c r="L7" s="32"/>
      <c r="M7" s="19"/>
      <c r="N7" s="31" t="s">
        <v>165</v>
      </c>
      <c r="O7" s="31"/>
      <c r="P7" s="31"/>
      <c r="Q7" s="31"/>
      <c r="R7" s="32"/>
      <c r="S7" s="19"/>
      <c r="T7" s="31" t="s">
        <v>165</v>
      </c>
      <c r="U7" s="31"/>
      <c r="V7" s="31"/>
      <c r="W7" s="31"/>
      <c r="X7" s="32"/>
      <c r="Y7" s="19"/>
      <c r="Z7" s="31" t="s">
        <v>165</v>
      </c>
      <c r="AA7" s="31"/>
      <c r="AB7" s="31"/>
      <c r="AC7" s="31"/>
      <c r="AD7" s="32"/>
      <c r="AE7" s="33"/>
      <c r="AF7" s="15"/>
      <c r="AG7" s="8" t="s">
        <v>55</v>
      </c>
      <c r="AH7" s="24">
        <f>'7年本地'!AN7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'7年本地'!AN8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'7年本地'!AN9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'7年本地'!AN10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'7年本地'!AN11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'7年本地'!AN12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'7年本地'!AN13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165</v>
      </c>
      <c r="C14" s="31"/>
      <c r="D14" s="31"/>
      <c r="E14" s="31"/>
      <c r="F14" s="32"/>
      <c r="G14" s="19"/>
      <c r="H14" s="31" t="s">
        <v>165</v>
      </c>
      <c r="I14" s="31"/>
      <c r="J14" s="31"/>
      <c r="K14" s="31"/>
      <c r="L14" s="32"/>
      <c r="M14" s="19"/>
      <c r="N14" s="31" t="s">
        <v>165</v>
      </c>
      <c r="O14" s="31"/>
      <c r="P14" s="31"/>
      <c r="Q14" s="31"/>
      <c r="R14" s="32"/>
      <c r="S14" s="19"/>
      <c r="T14" s="31" t="s">
        <v>165</v>
      </c>
      <c r="U14" s="31"/>
      <c r="V14" s="31"/>
      <c r="W14" s="31"/>
      <c r="X14" s="32"/>
      <c r="Y14" s="19"/>
      <c r="Z14" s="31" t="s">
        <v>165</v>
      </c>
      <c r="AA14" s="31"/>
      <c r="AB14" s="31"/>
      <c r="AC14" s="31"/>
      <c r="AD14" s="32"/>
      <c r="AE14" s="33"/>
      <c r="AF14" s="15"/>
      <c r="AG14" s="8" t="s">
        <v>62</v>
      </c>
      <c r="AH14" s="24">
        <f>'7年本地'!AN14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'7年本地'!AN15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'7年本地'!AN16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'7年本地'!AN17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165</v>
      </c>
      <c r="C21" s="37"/>
      <c r="D21" s="37"/>
      <c r="E21" s="37"/>
      <c r="F21" s="38"/>
      <c r="G21" s="36"/>
      <c r="H21" s="37" t="s">
        <v>165</v>
      </c>
      <c r="I21" s="37"/>
      <c r="J21" s="37"/>
      <c r="K21" s="37"/>
      <c r="L21" s="38"/>
      <c r="M21" s="36"/>
      <c r="N21" s="37" t="s">
        <v>165</v>
      </c>
      <c r="O21" s="37"/>
      <c r="P21" s="37"/>
      <c r="Q21" s="37"/>
      <c r="R21" s="38"/>
      <c r="S21" s="36"/>
      <c r="T21" s="37" t="s">
        <v>165</v>
      </c>
      <c r="U21" s="37"/>
      <c r="V21" s="37"/>
      <c r="W21" s="37"/>
      <c r="X21" s="38"/>
      <c r="Y21" s="36"/>
      <c r="Z21" s="37" t="s">
        <v>165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市场预测!L24</f>
        <v>0</v>
      </c>
      <c r="E22" s="41"/>
      <c r="F22" s="41"/>
      <c r="G22" s="42"/>
      <c r="H22" s="12" t="s">
        <v>131</v>
      </c>
      <c r="I22" s="12"/>
      <c r="J22" s="43">
        <v>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0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0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23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18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4</v>
      </c>
      <c r="D27" s="28"/>
      <c r="E27" s="29"/>
      <c r="F27" s="23"/>
      <c r="G27" s="19"/>
      <c r="H27" s="20" t="s">
        <v>123</v>
      </c>
      <c r="I27" s="27">
        <f ca="1">IF(D45&gt;=2,RANDBETWEEN(D46,J46),0)</f>
        <v>3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5.75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6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4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3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165</v>
      </c>
      <c r="C30" s="31"/>
      <c r="D30" s="31"/>
      <c r="E30" s="31"/>
      <c r="F30" s="32"/>
      <c r="G30" s="19"/>
      <c r="H30" s="31" t="s">
        <v>165</v>
      </c>
      <c r="I30" s="31"/>
      <c r="J30" s="31"/>
      <c r="K30" s="31"/>
      <c r="L30" s="32"/>
      <c r="M30" s="19"/>
      <c r="N30" s="31" t="s">
        <v>165</v>
      </c>
      <c r="O30" s="31"/>
      <c r="P30" s="31"/>
      <c r="Q30" s="31"/>
      <c r="R30" s="32"/>
      <c r="S30" s="19"/>
      <c r="T30" s="31" t="s">
        <v>165</v>
      </c>
      <c r="U30" s="31"/>
      <c r="V30" s="31"/>
      <c r="W30" s="31"/>
      <c r="X30" s="32"/>
      <c r="Y30" s="19"/>
      <c r="Z30" s="31" t="s">
        <v>165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165</v>
      </c>
      <c r="C37" s="31"/>
      <c r="D37" s="31"/>
      <c r="E37" s="31"/>
      <c r="F37" s="32"/>
      <c r="G37" s="19"/>
      <c r="H37" s="31" t="s">
        <v>165</v>
      </c>
      <c r="I37" s="31"/>
      <c r="J37" s="31"/>
      <c r="K37" s="31"/>
      <c r="L37" s="32"/>
      <c r="M37" s="19"/>
      <c r="N37" s="31" t="s">
        <v>165</v>
      </c>
      <c r="O37" s="31"/>
      <c r="P37" s="31"/>
      <c r="Q37" s="31"/>
      <c r="R37" s="32"/>
      <c r="S37" s="19"/>
      <c r="T37" s="31" t="s">
        <v>165</v>
      </c>
      <c r="U37" s="31"/>
      <c r="V37" s="31"/>
      <c r="W37" s="31"/>
      <c r="X37" s="32"/>
      <c r="Y37" s="19"/>
      <c r="Z37" s="31" t="s">
        <v>165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165</v>
      </c>
      <c r="C44" s="37"/>
      <c r="D44" s="37"/>
      <c r="E44" s="37"/>
      <c r="F44" s="38"/>
      <c r="G44" s="36"/>
      <c r="H44" s="37" t="s">
        <v>165</v>
      </c>
      <c r="I44" s="37"/>
      <c r="J44" s="37"/>
      <c r="K44" s="37"/>
      <c r="L44" s="38"/>
      <c r="M44" s="36"/>
      <c r="N44" s="37" t="s">
        <v>165</v>
      </c>
      <c r="O44" s="37"/>
      <c r="P44" s="37"/>
      <c r="Q44" s="37"/>
      <c r="R44" s="38"/>
      <c r="S44" s="36"/>
      <c r="T44" s="37" t="s">
        <v>165</v>
      </c>
      <c r="U44" s="37"/>
      <c r="V44" s="37"/>
      <c r="W44" s="37"/>
      <c r="X44" s="38"/>
      <c r="Y44" s="36"/>
      <c r="Z44" s="37" t="s">
        <v>165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市场预测!M24</f>
        <v>2</v>
      </c>
      <c r="E45" s="41"/>
      <c r="F45" s="41"/>
      <c r="G45" s="42"/>
      <c r="H45" s="12" t="s">
        <v>131</v>
      </c>
      <c r="I45" s="12"/>
      <c r="J45" s="43">
        <v>6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7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0.875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41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17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31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31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24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17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2</v>
      </c>
      <c r="D50" s="28"/>
      <c r="E50" s="29"/>
      <c r="F50" s="23"/>
      <c r="G50" s="19"/>
      <c r="H50" s="20" t="s">
        <v>123</v>
      </c>
      <c r="I50" s="27">
        <f ca="1">IF(D68&gt;=2,RANDBETWEEN(D69,J69),0)</f>
        <v>4</v>
      </c>
      <c r="J50" s="28"/>
      <c r="K50" s="29"/>
      <c r="L50" s="23"/>
      <c r="M50" s="19"/>
      <c r="N50" s="20" t="s">
        <v>123</v>
      </c>
      <c r="O50" s="27">
        <f ca="1">IF(D68&gt;=3,RANDBETWEEN(D69,J69),0)</f>
        <v>4</v>
      </c>
      <c r="P50" s="28"/>
      <c r="Q50" s="29"/>
      <c r="R50" s="23"/>
      <c r="S50" s="19"/>
      <c r="T50" s="20" t="s">
        <v>123</v>
      </c>
      <c r="U50" s="27">
        <f ca="1">IF(D68&gt;=4,RANDBETWEEN(D69,J69),0)</f>
        <v>3</v>
      </c>
      <c r="V50" s="28"/>
      <c r="W50" s="29"/>
      <c r="X50" s="23"/>
      <c r="Y50" s="19"/>
      <c r="Z50" s="20" t="s">
        <v>123</v>
      </c>
      <c r="AA50" s="27">
        <f ca="1">IF(D68&gt;=5,RANDBETWEEN(D69,J69),0)</f>
        <v>2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8.5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7.75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7.75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8</v>
      </c>
      <c r="V51" s="22" t="s">
        <v>121</v>
      </c>
      <c r="W51" s="22"/>
      <c r="X51" s="23"/>
      <c r="Y51" s="19"/>
      <c r="Z51" s="20" t="s">
        <v>124</v>
      </c>
      <c r="AA51" s="30">
        <f ca="1">AA49/AA50</f>
        <v>8.5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3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2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4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2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3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165</v>
      </c>
      <c r="C53" s="31"/>
      <c r="D53" s="31"/>
      <c r="E53" s="31"/>
      <c r="F53" s="32"/>
      <c r="G53" s="19"/>
      <c r="H53" s="31" t="s">
        <v>165</v>
      </c>
      <c r="I53" s="31"/>
      <c r="J53" s="31"/>
      <c r="K53" s="31"/>
      <c r="L53" s="32"/>
      <c r="M53" s="19"/>
      <c r="N53" s="31" t="s">
        <v>165</v>
      </c>
      <c r="O53" s="31"/>
      <c r="P53" s="31"/>
      <c r="Q53" s="31"/>
      <c r="R53" s="32"/>
      <c r="S53" s="19"/>
      <c r="T53" s="31" t="s">
        <v>165</v>
      </c>
      <c r="U53" s="31"/>
      <c r="V53" s="31"/>
      <c r="W53" s="31"/>
      <c r="X53" s="32"/>
      <c r="Y53" s="19"/>
      <c r="Z53" s="31" t="s">
        <v>165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165</v>
      </c>
      <c r="C60" s="31"/>
      <c r="D60" s="31"/>
      <c r="E60" s="31"/>
      <c r="F60" s="32"/>
      <c r="G60" s="19"/>
      <c r="H60" s="31" t="s">
        <v>165</v>
      </c>
      <c r="I60" s="31"/>
      <c r="J60" s="31"/>
      <c r="K60" s="31"/>
      <c r="L60" s="32"/>
      <c r="M60" s="19"/>
      <c r="N60" s="31" t="s">
        <v>165</v>
      </c>
      <c r="O60" s="31"/>
      <c r="P60" s="31"/>
      <c r="Q60" s="31"/>
      <c r="R60" s="32"/>
      <c r="S60" s="19"/>
      <c r="T60" s="31" t="s">
        <v>165</v>
      </c>
      <c r="U60" s="31"/>
      <c r="V60" s="31"/>
      <c r="W60" s="31"/>
      <c r="X60" s="32"/>
      <c r="Y60" s="19"/>
      <c r="Z60" s="31" t="s">
        <v>165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165</v>
      </c>
      <c r="C67" s="37"/>
      <c r="D67" s="37"/>
      <c r="E67" s="37"/>
      <c r="F67" s="38"/>
      <c r="G67" s="36"/>
      <c r="H67" s="37" t="s">
        <v>165</v>
      </c>
      <c r="I67" s="37"/>
      <c r="J67" s="37"/>
      <c r="K67" s="37"/>
      <c r="L67" s="38"/>
      <c r="M67" s="36"/>
      <c r="N67" s="37" t="s">
        <v>165</v>
      </c>
      <c r="O67" s="37"/>
      <c r="P67" s="37"/>
      <c r="Q67" s="37"/>
      <c r="R67" s="38"/>
      <c r="S67" s="36"/>
      <c r="T67" s="37" t="s">
        <v>165</v>
      </c>
      <c r="U67" s="37"/>
      <c r="V67" s="37"/>
      <c r="W67" s="37"/>
      <c r="X67" s="38"/>
      <c r="Y67" s="36"/>
      <c r="Z67" s="37" t="s">
        <v>165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市场预测!N24</f>
        <v>5</v>
      </c>
      <c r="E68" s="41"/>
      <c r="F68" s="41"/>
      <c r="G68" s="42"/>
      <c r="H68" s="12" t="s">
        <v>131</v>
      </c>
      <c r="I68" s="12"/>
      <c r="J68" s="43">
        <v>8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15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1.875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120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43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23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23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33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4</v>
      </c>
      <c r="D73" s="28"/>
      <c r="E73" s="29"/>
      <c r="F73" s="23"/>
      <c r="G73" s="19"/>
      <c r="H73" s="20" t="s">
        <v>123</v>
      </c>
      <c r="I73" s="27">
        <f ca="1">IF(D91&gt;=2,RANDBETWEEN(D92,J92),0)</f>
        <v>2</v>
      </c>
      <c r="J73" s="28"/>
      <c r="K73" s="29"/>
      <c r="L73" s="23"/>
      <c r="M73" s="19"/>
      <c r="N73" s="20" t="s">
        <v>123</v>
      </c>
      <c r="O73" s="27">
        <f ca="1">IF(D91&gt;=3,RANDBETWEEN(D92,J92),0)</f>
        <v>2</v>
      </c>
      <c r="P73" s="28"/>
      <c r="Q73" s="29"/>
      <c r="R73" s="23"/>
      <c r="S73" s="19"/>
      <c r="T73" s="20" t="s">
        <v>123</v>
      </c>
      <c r="U73" s="27">
        <f ca="1">IF(D91&gt;=4,RANDBETWEEN(D92,J92),0)</f>
        <v>3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10.75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11.5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11.5</v>
      </c>
      <c r="P74" s="22" t="s">
        <v>121</v>
      </c>
      <c r="Q74" s="22"/>
      <c r="R74" s="23"/>
      <c r="S74" s="19"/>
      <c r="T74" s="20" t="s">
        <v>124</v>
      </c>
      <c r="U74" s="30">
        <f ca="1">U72/U73</f>
        <v>11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4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3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2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4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165</v>
      </c>
      <c r="C76" s="31"/>
      <c r="D76" s="31"/>
      <c r="E76" s="31"/>
      <c r="F76" s="32"/>
      <c r="G76" s="19"/>
      <c r="H76" s="31" t="s">
        <v>165</v>
      </c>
      <c r="I76" s="31"/>
      <c r="J76" s="31"/>
      <c r="K76" s="31"/>
      <c r="L76" s="32"/>
      <c r="M76" s="19"/>
      <c r="N76" s="31" t="s">
        <v>165</v>
      </c>
      <c r="O76" s="31"/>
      <c r="P76" s="31"/>
      <c r="Q76" s="31"/>
      <c r="R76" s="32"/>
      <c r="S76" s="19"/>
      <c r="T76" s="31" t="s">
        <v>165</v>
      </c>
      <c r="U76" s="31"/>
      <c r="V76" s="31"/>
      <c r="W76" s="31"/>
      <c r="X76" s="32"/>
      <c r="Y76" s="19"/>
      <c r="Z76" s="31" t="s">
        <v>165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165</v>
      </c>
      <c r="C83" s="31"/>
      <c r="D83" s="31"/>
      <c r="E83" s="31"/>
      <c r="F83" s="32"/>
      <c r="G83" s="19"/>
      <c r="H83" s="31" t="s">
        <v>165</v>
      </c>
      <c r="I83" s="31"/>
      <c r="J83" s="31"/>
      <c r="K83" s="31"/>
      <c r="L83" s="32"/>
      <c r="M83" s="19"/>
      <c r="N83" s="31" t="s">
        <v>165</v>
      </c>
      <c r="O83" s="31"/>
      <c r="P83" s="31"/>
      <c r="Q83" s="31"/>
      <c r="R83" s="32"/>
      <c r="S83" s="19"/>
      <c r="T83" s="31" t="s">
        <v>165</v>
      </c>
      <c r="U83" s="31"/>
      <c r="V83" s="31"/>
      <c r="W83" s="31"/>
      <c r="X83" s="32"/>
      <c r="Y83" s="19"/>
      <c r="Z83" s="31" t="s">
        <v>165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165</v>
      </c>
      <c r="C90" s="37"/>
      <c r="D90" s="37"/>
      <c r="E90" s="37"/>
      <c r="F90" s="38"/>
      <c r="G90" s="36"/>
      <c r="H90" s="37" t="s">
        <v>165</v>
      </c>
      <c r="I90" s="37"/>
      <c r="J90" s="37"/>
      <c r="K90" s="37"/>
      <c r="L90" s="38"/>
      <c r="M90" s="36"/>
      <c r="N90" s="37" t="s">
        <v>165</v>
      </c>
      <c r="O90" s="37"/>
      <c r="P90" s="37"/>
      <c r="Q90" s="37"/>
      <c r="R90" s="38"/>
      <c r="S90" s="36"/>
      <c r="T90" s="37" t="s">
        <v>165</v>
      </c>
      <c r="U90" s="37"/>
      <c r="V90" s="37"/>
      <c r="W90" s="37"/>
      <c r="X90" s="38"/>
      <c r="Y90" s="36"/>
      <c r="Z90" s="37" t="s">
        <v>165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市场预测!O24</f>
        <v>4</v>
      </c>
      <c r="E91" s="41"/>
      <c r="F91" s="41"/>
      <c r="G91" s="42"/>
      <c r="H91" s="12" t="s">
        <v>131</v>
      </c>
      <c r="I91" s="12"/>
      <c r="J91" s="43">
        <v>11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11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1.375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122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AX92"/>
  <sheetViews>
    <sheetView view="pageBreakPreview" zoomScale="55" zoomScaleNormal="8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12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'7年区域'!AN3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2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'7年区域'!AN4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6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'7年区域'!AN5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3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'7年区域'!AN6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166</v>
      </c>
      <c r="C7" s="31"/>
      <c r="D7" s="31"/>
      <c r="E7" s="31"/>
      <c r="F7" s="32"/>
      <c r="G7" s="19"/>
      <c r="H7" s="31" t="s">
        <v>166</v>
      </c>
      <c r="I7" s="31"/>
      <c r="J7" s="31"/>
      <c r="K7" s="31"/>
      <c r="L7" s="32"/>
      <c r="M7" s="19"/>
      <c r="N7" s="31" t="s">
        <v>166</v>
      </c>
      <c r="O7" s="31"/>
      <c r="P7" s="31"/>
      <c r="Q7" s="31"/>
      <c r="R7" s="32"/>
      <c r="S7" s="19"/>
      <c r="T7" s="31" t="s">
        <v>166</v>
      </c>
      <c r="U7" s="31"/>
      <c r="V7" s="31"/>
      <c r="W7" s="31"/>
      <c r="X7" s="32"/>
      <c r="Y7" s="19"/>
      <c r="Z7" s="31" t="s">
        <v>166</v>
      </c>
      <c r="AA7" s="31"/>
      <c r="AB7" s="31"/>
      <c r="AC7" s="31"/>
      <c r="AD7" s="32"/>
      <c r="AE7" s="33"/>
      <c r="AF7" s="15"/>
      <c r="AG7" s="8" t="s">
        <v>55</v>
      </c>
      <c r="AH7" s="24">
        <f>'7年区域'!AN7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'7年区域'!AN8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'7年区域'!AN9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'7年区域'!AN10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'7年区域'!AN11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'7年区域'!AN12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'7年区域'!AN13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166</v>
      </c>
      <c r="C14" s="31"/>
      <c r="D14" s="31"/>
      <c r="E14" s="31"/>
      <c r="F14" s="32"/>
      <c r="G14" s="19"/>
      <c r="H14" s="31" t="s">
        <v>166</v>
      </c>
      <c r="I14" s="31"/>
      <c r="J14" s="31"/>
      <c r="K14" s="31"/>
      <c r="L14" s="32"/>
      <c r="M14" s="19"/>
      <c r="N14" s="31" t="s">
        <v>166</v>
      </c>
      <c r="O14" s="31"/>
      <c r="P14" s="31"/>
      <c r="Q14" s="31"/>
      <c r="R14" s="32"/>
      <c r="S14" s="19"/>
      <c r="T14" s="31" t="s">
        <v>166</v>
      </c>
      <c r="U14" s="31"/>
      <c r="V14" s="31"/>
      <c r="W14" s="31"/>
      <c r="X14" s="32"/>
      <c r="Y14" s="19"/>
      <c r="Z14" s="31" t="s">
        <v>166</v>
      </c>
      <c r="AA14" s="31"/>
      <c r="AB14" s="31"/>
      <c r="AC14" s="31"/>
      <c r="AD14" s="32"/>
      <c r="AE14" s="33"/>
      <c r="AF14" s="15"/>
      <c r="AG14" s="8" t="s">
        <v>62</v>
      </c>
      <c r="AH14" s="24">
        <f>'7年区域'!AN14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'7年区域'!AN15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'7年区域'!AN16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'7年区域'!AN17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166</v>
      </c>
      <c r="C21" s="37"/>
      <c r="D21" s="37"/>
      <c r="E21" s="37"/>
      <c r="F21" s="38"/>
      <c r="G21" s="36"/>
      <c r="H21" s="37" t="s">
        <v>166</v>
      </c>
      <c r="I21" s="37"/>
      <c r="J21" s="37"/>
      <c r="K21" s="37"/>
      <c r="L21" s="38"/>
      <c r="M21" s="36"/>
      <c r="N21" s="37" t="s">
        <v>166</v>
      </c>
      <c r="O21" s="37"/>
      <c r="P21" s="37"/>
      <c r="Q21" s="37"/>
      <c r="R21" s="38"/>
      <c r="S21" s="36"/>
      <c r="T21" s="37" t="s">
        <v>166</v>
      </c>
      <c r="U21" s="37"/>
      <c r="V21" s="37"/>
      <c r="W21" s="37"/>
      <c r="X21" s="38"/>
      <c r="Y21" s="36"/>
      <c r="Z21" s="37" t="s">
        <v>166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市场预测!L34</f>
        <v>1</v>
      </c>
      <c r="E22" s="41"/>
      <c r="F22" s="41"/>
      <c r="G22" s="42"/>
      <c r="H22" s="12" t="s">
        <v>131</v>
      </c>
      <c r="I22" s="12"/>
      <c r="J22" s="43">
        <v>5.5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2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0.25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12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25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25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19.5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4</v>
      </c>
      <c r="D27" s="28"/>
      <c r="E27" s="29"/>
      <c r="F27" s="23"/>
      <c r="G27" s="19"/>
      <c r="H27" s="20" t="s">
        <v>123</v>
      </c>
      <c r="I27" s="27">
        <f ca="1">IF(D45&gt;=2,RANDBETWEEN(D46,J46),0)</f>
        <v>4</v>
      </c>
      <c r="J27" s="28"/>
      <c r="K27" s="29"/>
      <c r="L27" s="23"/>
      <c r="M27" s="19"/>
      <c r="N27" s="20" t="s">
        <v>123</v>
      </c>
      <c r="O27" s="27">
        <f ca="1">IF(D45&gt;=3,RANDBETWEEN(D46,J46),0)</f>
        <v>3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6.25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6.25</v>
      </c>
      <c r="J28" s="22" t="s">
        <v>121</v>
      </c>
      <c r="K28" s="22"/>
      <c r="L28" s="23"/>
      <c r="M28" s="19"/>
      <c r="N28" s="20" t="s">
        <v>124</v>
      </c>
      <c r="O28" s="30">
        <f ca="1">O26/O27</f>
        <v>6.5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3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3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4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166</v>
      </c>
      <c r="C30" s="31"/>
      <c r="D30" s="31"/>
      <c r="E30" s="31"/>
      <c r="F30" s="32"/>
      <c r="G30" s="19"/>
      <c r="H30" s="31" t="s">
        <v>166</v>
      </c>
      <c r="I30" s="31"/>
      <c r="J30" s="31"/>
      <c r="K30" s="31"/>
      <c r="L30" s="32"/>
      <c r="M30" s="19"/>
      <c r="N30" s="31" t="s">
        <v>166</v>
      </c>
      <c r="O30" s="31"/>
      <c r="P30" s="31"/>
      <c r="Q30" s="31"/>
      <c r="R30" s="32"/>
      <c r="S30" s="19"/>
      <c r="T30" s="31" t="s">
        <v>166</v>
      </c>
      <c r="U30" s="31"/>
      <c r="V30" s="31"/>
      <c r="W30" s="31"/>
      <c r="X30" s="32"/>
      <c r="Y30" s="19"/>
      <c r="Z30" s="31" t="s">
        <v>166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166</v>
      </c>
      <c r="C37" s="31"/>
      <c r="D37" s="31"/>
      <c r="E37" s="31"/>
      <c r="F37" s="32"/>
      <c r="G37" s="19"/>
      <c r="H37" s="31" t="s">
        <v>166</v>
      </c>
      <c r="I37" s="31"/>
      <c r="J37" s="31"/>
      <c r="K37" s="31"/>
      <c r="L37" s="32"/>
      <c r="M37" s="19"/>
      <c r="N37" s="31" t="s">
        <v>166</v>
      </c>
      <c r="O37" s="31"/>
      <c r="P37" s="31"/>
      <c r="Q37" s="31"/>
      <c r="R37" s="32"/>
      <c r="S37" s="19"/>
      <c r="T37" s="31" t="s">
        <v>166</v>
      </c>
      <c r="U37" s="31"/>
      <c r="V37" s="31"/>
      <c r="W37" s="31"/>
      <c r="X37" s="32"/>
      <c r="Y37" s="19"/>
      <c r="Z37" s="31" t="s">
        <v>166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166</v>
      </c>
      <c r="C44" s="37"/>
      <c r="D44" s="37"/>
      <c r="E44" s="37"/>
      <c r="F44" s="38"/>
      <c r="G44" s="36"/>
      <c r="H44" s="37" t="s">
        <v>166</v>
      </c>
      <c r="I44" s="37"/>
      <c r="J44" s="37"/>
      <c r="K44" s="37"/>
      <c r="L44" s="38"/>
      <c r="M44" s="36"/>
      <c r="N44" s="37" t="s">
        <v>166</v>
      </c>
      <c r="O44" s="37"/>
      <c r="P44" s="37"/>
      <c r="Q44" s="37"/>
      <c r="R44" s="38"/>
      <c r="S44" s="36"/>
      <c r="T44" s="37" t="s">
        <v>166</v>
      </c>
      <c r="U44" s="37"/>
      <c r="V44" s="37"/>
      <c r="W44" s="37"/>
      <c r="X44" s="38"/>
      <c r="Y44" s="36"/>
      <c r="Z44" s="37" t="s">
        <v>166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市场预测!M34</f>
        <v>3</v>
      </c>
      <c r="E45" s="41"/>
      <c r="F45" s="41"/>
      <c r="G45" s="42"/>
      <c r="H45" s="12" t="s">
        <v>131</v>
      </c>
      <c r="I45" s="12"/>
      <c r="J45" s="43">
        <v>6.5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11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1.375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69.5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18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33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18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33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25.5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2</v>
      </c>
      <c r="D50" s="28"/>
      <c r="E50" s="29"/>
      <c r="F50" s="23"/>
      <c r="G50" s="19"/>
      <c r="H50" s="20" t="s">
        <v>123</v>
      </c>
      <c r="I50" s="27">
        <f ca="1">IF(D68&gt;=2,RANDBETWEEN(D69,J69),0)</f>
        <v>4</v>
      </c>
      <c r="J50" s="28"/>
      <c r="K50" s="29"/>
      <c r="L50" s="23"/>
      <c r="M50" s="19"/>
      <c r="N50" s="20" t="s">
        <v>123</v>
      </c>
      <c r="O50" s="27">
        <f ca="1">IF(D68&gt;=3,RANDBETWEEN(D69,J69),0)</f>
        <v>2</v>
      </c>
      <c r="P50" s="28"/>
      <c r="Q50" s="29"/>
      <c r="R50" s="23"/>
      <c r="S50" s="19"/>
      <c r="T50" s="20" t="s">
        <v>123</v>
      </c>
      <c r="U50" s="27">
        <f ca="1">IF(D68&gt;=4,RANDBETWEEN(D69,J69),0)</f>
        <v>4</v>
      </c>
      <c r="V50" s="28"/>
      <c r="W50" s="29"/>
      <c r="X50" s="23"/>
      <c r="Y50" s="19"/>
      <c r="Z50" s="20" t="s">
        <v>123</v>
      </c>
      <c r="AA50" s="27">
        <f ca="1">IF(D68&gt;=5,RANDBETWEEN(D69,J69),0)</f>
        <v>3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9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8.25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9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8.25</v>
      </c>
      <c r="V51" s="22" t="s">
        <v>121</v>
      </c>
      <c r="W51" s="22"/>
      <c r="X51" s="23"/>
      <c r="Y51" s="19"/>
      <c r="Z51" s="20" t="s">
        <v>124</v>
      </c>
      <c r="AA51" s="30">
        <f ca="1">AA49/AA50</f>
        <v>8.5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3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4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4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3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3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166</v>
      </c>
      <c r="C53" s="31"/>
      <c r="D53" s="31"/>
      <c r="E53" s="31"/>
      <c r="F53" s="32"/>
      <c r="G53" s="19"/>
      <c r="H53" s="31" t="s">
        <v>166</v>
      </c>
      <c r="I53" s="31"/>
      <c r="J53" s="31"/>
      <c r="K53" s="31"/>
      <c r="L53" s="32"/>
      <c r="M53" s="19"/>
      <c r="N53" s="31" t="s">
        <v>166</v>
      </c>
      <c r="O53" s="31"/>
      <c r="P53" s="31"/>
      <c r="Q53" s="31"/>
      <c r="R53" s="32"/>
      <c r="S53" s="19"/>
      <c r="T53" s="31" t="s">
        <v>166</v>
      </c>
      <c r="U53" s="31"/>
      <c r="V53" s="31"/>
      <c r="W53" s="31"/>
      <c r="X53" s="32"/>
      <c r="Y53" s="19"/>
      <c r="Z53" s="31" t="s">
        <v>166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166</v>
      </c>
      <c r="C60" s="31"/>
      <c r="D60" s="31"/>
      <c r="E60" s="31"/>
      <c r="F60" s="32"/>
      <c r="G60" s="19"/>
      <c r="H60" s="31" t="s">
        <v>166</v>
      </c>
      <c r="I60" s="31"/>
      <c r="J60" s="31"/>
      <c r="K60" s="31"/>
      <c r="L60" s="32"/>
      <c r="M60" s="19"/>
      <c r="N60" s="31" t="s">
        <v>166</v>
      </c>
      <c r="O60" s="31"/>
      <c r="P60" s="31"/>
      <c r="Q60" s="31"/>
      <c r="R60" s="32"/>
      <c r="S60" s="19"/>
      <c r="T60" s="31" t="s">
        <v>166</v>
      </c>
      <c r="U60" s="31"/>
      <c r="V60" s="31"/>
      <c r="W60" s="31"/>
      <c r="X60" s="32"/>
      <c r="Y60" s="19"/>
      <c r="Z60" s="31" t="s">
        <v>166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166</v>
      </c>
      <c r="C67" s="37"/>
      <c r="D67" s="37"/>
      <c r="E67" s="37"/>
      <c r="F67" s="38"/>
      <c r="G67" s="36"/>
      <c r="H67" s="37" t="s">
        <v>166</v>
      </c>
      <c r="I67" s="37"/>
      <c r="J67" s="37"/>
      <c r="K67" s="37"/>
      <c r="L67" s="38"/>
      <c r="M67" s="36"/>
      <c r="N67" s="37" t="s">
        <v>166</v>
      </c>
      <c r="O67" s="37"/>
      <c r="P67" s="37"/>
      <c r="Q67" s="37"/>
      <c r="R67" s="38"/>
      <c r="S67" s="36"/>
      <c r="T67" s="37" t="s">
        <v>166</v>
      </c>
      <c r="U67" s="37"/>
      <c r="V67" s="37"/>
      <c r="W67" s="37"/>
      <c r="X67" s="38"/>
      <c r="Y67" s="36"/>
      <c r="Z67" s="37" t="s">
        <v>166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市场预测!N34</f>
        <v>5</v>
      </c>
      <c r="E68" s="41"/>
      <c r="F68" s="41"/>
      <c r="G68" s="42"/>
      <c r="H68" s="12" t="s">
        <v>131</v>
      </c>
      <c r="I68" s="12"/>
      <c r="J68" s="43">
        <v>8.5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15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1.875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127.5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24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45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45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24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2</v>
      </c>
      <c r="D73" s="28"/>
      <c r="E73" s="29"/>
      <c r="F73" s="23"/>
      <c r="G73" s="19"/>
      <c r="H73" s="20" t="s">
        <v>123</v>
      </c>
      <c r="I73" s="27">
        <f ca="1">IF(D91&gt;=2,RANDBETWEEN(D92,J92),0)</f>
        <v>4</v>
      </c>
      <c r="J73" s="28"/>
      <c r="K73" s="29"/>
      <c r="L73" s="23"/>
      <c r="M73" s="19"/>
      <c r="N73" s="20" t="s">
        <v>123</v>
      </c>
      <c r="O73" s="27">
        <f ca="1">IF(D91&gt;=3,RANDBETWEEN(D92,J92),0)</f>
        <v>4</v>
      </c>
      <c r="P73" s="28"/>
      <c r="Q73" s="29"/>
      <c r="R73" s="23"/>
      <c r="S73" s="19"/>
      <c r="T73" s="20" t="s">
        <v>123</v>
      </c>
      <c r="U73" s="27">
        <f ca="1">IF(D91&gt;=4,RANDBETWEEN(D92,J92),0)</f>
        <v>2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12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11.25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11.25</v>
      </c>
      <c r="P74" s="22" t="s">
        <v>121</v>
      </c>
      <c r="Q74" s="22"/>
      <c r="R74" s="23"/>
      <c r="S74" s="19"/>
      <c r="T74" s="20" t="s">
        <v>124</v>
      </c>
      <c r="U74" s="30">
        <f ca="1">U72/U73</f>
        <v>12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4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2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4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4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166</v>
      </c>
      <c r="C76" s="31"/>
      <c r="D76" s="31"/>
      <c r="E76" s="31"/>
      <c r="F76" s="32"/>
      <c r="G76" s="19"/>
      <c r="H76" s="31" t="s">
        <v>166</v>
      </c>
      <c r="I76" s="31"/>
      <c r="J76" s="31"/>
      <c r="K76" s="31"/>
      <c r="L76" s="32"/>
      <c r="M76" s="19"/>
      <c r="N76" s="31" t="s">
        <v>166</v>
      </c>
      <c r="O76" s="31"/>
      <c r="P76" s="31"/>
      <c r="Q76" s="31"/>
      <c r="R76" s="32"/>
      <c r="S76" s="19"/>
      <c r="T76" s="31" t="s">
        <v>166</v>
      </c>
      <c r="U76" s="31"/>
      <c r="V76" s="31"/>
      <c r="W76" s="31"/>
      <c r="X76" s="32"/>
      <c r="Y76" s="19"/>
      <c r="Z76" s="31" t="s">
        <v>166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166</v>
      </c>
      <c r="C83" s="31"/>
      <c r="D83" s="31"/>
      <c r="E83" s="31"/>
      <c r="F83" s="32"/>
      <c r="G83" s="19"/>
      <c r="H83" s="31" t="s">
        <v>166</v>
      </c>
      <c r="I83" s="31"/>
      <c r="J83" s="31"/>
      <c r="K83" s="31"/>
      <c r="L83" s="32"/>
      <c r="M83" s="19"/>
      <c r="N83" s="31" t="s">
        <v>166</v>
      </c>
      <c r="O83" s="31"/>
      <c r="P83" s="31"/>
      <c r="Q83" s="31"/>
      <c r="R83" s="32"/>
      <c r="S83" s="19"/>
      <c r="T83" s="31" t="s">
        <v>166</v>
      </c>
      <c r="U83" s="31"/>
      <c r="V83" s="31"/>
      <c r="W83" s="31"/>
      <c r="X83" s="32"/>
      <c r="Y83" s="19"/>
      <c r="Z83" s="31" t="s">
        <v>166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166</v>
      </c>
      <c r="C90" s="37"/>
      <c r="D90" s="37"/>
      <c r="E90" s="37"/>
      <c r="F90" s="38"/>
      <c r="G90" s="36"/>
      <c r="H90" s="37" t="s">
        <v>166</v>
      </c>
      <c r="I90" s="37"/>
      <c r="J90" s="37"/>
      <c r="K90" s="37"/>
      <c r="L90" s="38"/>
      <c r="M90" s="36"/>
      <c r="N90" s="37" t="s">
        <v>166</v>
      </c>
      <c r="O90" s="37"/>
      <c r="P90" s="37"/>
      <c r="Q90" s="37"/>
      <c r="R90" s="38"/>
      <c r="S90" s="36"/>
      <c r="T90" s="37" t="s">
        <v>166</v>
      </c>
      <c r="U90" s="37"/>
      <c r="V90" s="37"/>
      <c r="W90" s="37"/>
      <c r="X90" s="38"/>
      <c r="Y90" s="36"/>
      <c r="Z90" s="37" t="s">
        <v>166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市场预测!O34</f>
        <v>4</v>
      </c>
      <c r="E91" s="41"/>
      <c r="F91" s="41"/>
      <c r="G91" s="42"/>
      <c r="H91" s="12" t="s">
        <v>131</v>
      </c>
      <c r="I91" s="12"/>
      <c r="J91" s="43">
        <v>11.5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12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138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AX92"/>
  <sheetViews>
    <sheetView view="pageBreakPreview" zoomScale="55" zoomScaleNormal="8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23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'7年全国'!AN3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4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'7年全国'!AN4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5.75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'7年全国'!AN5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2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'7年全国'!AN6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167</v>
      </c>
      <c r="C7" s="31"/>
      <c r="D7" s="31"/>
      <c r="E7" s="31"/>
      <c r="F7" s="32"/>
      <c r="G7" s="19"/>
      <c r="H7" s="31" t="s">
        <v>167</v>
      </c>
      <c r="I7" s="31"/>
      <c r="J7" s="31"/>
      <c r="K7" s="31"/>
      <c r="L7" s="32"/>
      <c r="M7" s="19"/>
      <c r="N7" s="31" t="s">
        <v>167</v>
      </c>
      <c r="O7" s="31"/>
      <c r="P7" s="31"/>
      <c r="Q7" s="31"/>
      <c r="R7" s="32"/>
      <c r="S7" s="19"/>
      <c r="T7" s="31" t="s">
        <v>167</v>
      </c>
      <c r="U7" s="31"/>
      <c r="V7" s="31"/>
      <c r="W7" s="31"/>
      <c r="X7" s="32"/>
      <c r="Y7" s="19"/>
      <c r="Z7" s="31" t="s">
        <v>167</v>
      </c>
      <c r="AA7" s="31"/>
      <c r="AB7" s="31"/>
      <c r="AC7" s="31"/>
      <c r="AD7" s="32"/>
      <c r="AE7" s="33"/>
      <c r="AF7" s="15"/>
      <c r="AG7" s="8" t="s">
        <v>55</v>
      </c>
      <c r="AH7" s="24">
        <f>'7年全国'!AN7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'7年全国'!AN8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'7年全国'!AN9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'7年全国'!AN10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'7年全国'!AN11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'7年全国'!AN12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'7年全国'!AN13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167</v>
      </c>
      <c r="C14" s="31"/>
      <c r="D14" s="31"/>
      <c r="E14" s="31"/>
      <c r="F14" s="32"/>
      <c r="G14" s="19"/>
      <c r="H14" s="31" t="s">
        <v>167</v>
      </c>
      <c r="I14" s="31"/>
      <c r="J14" s="31"/>
      <c r="K14" s="31"/>
      <c r="L14" s="32"/>
      <c r="M14" s="19"/>
      <c r="N14" s="31" t="s">
        <v>167</v>
      </c>
      <c r="O14" s="31"/>
      <c r="P14" s="31"/>
      <c r="Q14" s="31"/>
      <c r="R14" s="32"/>
      <c r="S14" s="19"/>
      <c r="T14" s="31" t="s">
        <v>167</v>
      </c>
      <c r="U14" s="31"/>
      <c r="V14" s="31"/>
      <c r="W14" s="31"/>
      <c r="X14" s="32"/>
      <c r="Y14" s="19"/>
      <c r="Z14" s="31" t="s">
        <v>167</v>
      </c>
      <c r="AA14" s="31"/>
      <c r="AB14" s="31"/>
      <c r="AC14" s="31"/>
      <c r="AD14" s="32"/>
      <c r="AE14" s="33"/>
      <c r="AF14" s="15"/>
      <c r="AG14" s="8" t="s">
        <v>62</v>
      </c>
      <c r="AH14" s="24">
        <f>'7年全国'!AN14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'7年全国'!AN15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'7年全国'!AN16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'7年全国'!AN17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167</v>
      </c>
      <c r="C21" s="37"/>
      <c r="D21" s="37"/>
      <c r="E21" s="37"/>
      <c r="F21" s="38"/>
      <c r="G21" s="36"/>
      <c r="H21" s="37" t="s">
        <v>167</v>
      </c>
      <c r="I21" s="37"/>
      <c r="J21" s="37"/>
      <c r="K21" s="37"/>
      <c r="L21" s="38"/>
      <c r="M21" s="36"/>
      <c r="N21" s="37" t="s">
        <v>167</v>
      </c>
      <c r="O21" s="37"/>
      <c r="P21" s="37"/>
      <c r="Q21" s="37"/>
      <c r="R21" s="38"/>
      <c r="S21" s="36"/>
      <c r="T21" s="37" t="s">
        <v>167</v>
      </c>
      <c r="U21" s="37"/>
      <c r="V21" s="37"/>
      <c r="W21" s="37"/>
      <c r="X21" s="38"/>
      <c r="Y21" s="36"/>
      <c r="Z21" s="37" t="s">
        <v>167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市场预测!L44</f>
        <v>1</v>
      </c>
      <c r="E22" s="41"/>
      <c r="F22" s="41"/>
      <c r="G22" s="42"/>
      <c r="H22" s="12" t="s">
        <v>131</v>
      </c>
      <c r="I22" s="12"/>
      <c r="J22" s="43">
        <v>6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4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23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21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21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3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7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7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2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2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167</v>
      </c>
      <c r="C30" s="31"/>
      <c r="D30" s="31"/>
      <c r="E30" s="31"/>
      <c r="F30" s="32"/>
      <c r="G30" s="19"/>
      <c r="H30" s="31" t="s">
        <v>167</v>
      </c>
      <c r="I30" s="31"/>
      <c r="J30" s="31"/>
      <c r="K30" s="31"/>
      <c r="L30" s="32"/>
      <c r="M30" s="19"/>
      <c r="N30" s="31" t="s">
        <v>167</v>
      </c>
      <c r="O30" s="31"/>
      <c r="P30" s="31"/>
      <c r="Q30" s="31"/>
      <c r="R30" s="32"/>
      <c r="S30" s="19"/>
      <c r="T30" s="31" t="s">
        <v>167</v>
      </c>
      <c r="U30" s="31"/>
      <c r="V30" s="31"/>
      <c r="W30" s="31"/>
      <c r="X30" s="32"/>
      <c r="Y30" s="19"/>
      <c r="Z30" s="31" t="s">
        <v>167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167</v>
      </c>
      <c r="C37" s="31"/>
      <c r="D37" s="31"/>
      <c r="E37" s="31"/>
      <c r="F37" s="32"/>
      <c r="G37" s="19"/>
      <c r="H37" s="31" t="s">
        <v>167</v>
      </c>
      <c r="I37" s="31"/>
      <c r="J37" s="31"/>
      <c r="K37" s="31"/>
      <c r="L37" s="32"/>
      <c r="M37" s="19"/>
      <c r="N37" s="31" t="s">
        <v>167</v>
      </c>
      <c r="O37" s="31"/>
      <c r="P37" s="31"/>
      <c r="Q37" s="31"/>
      <c r="R37" s="32"/>
      <c r="S37" s="19"/>
      <c r="T37" s="31" t="s">
        <v>167</v>
      </c>
      <c r="U37" s="31"/>
      <c r="V37" s="31"/>
      <c r="W37" s="31"/>
      <c r="X37" s="32"/>
      <c r="Y37" s="19"/>
      <c r="Z37" s="31" t="s">
        <v>167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167</v>
      </c>
      <c r="C44" s="37"/>
      <c r="D44" s="37"/>
      <c r="E44" s="37"/>
      <c r="F44" s="38"/>
      <c r="G44" s="36"/>
      <c r="H44" s="37" t="s">
        <v>167</v>
      </c>
      <c r="I44" s="37"/>
      <c r="J44" s="37"/>
      <c r="K44" s="37"/>
      <c r="L44" s="38"/>
      <c r="M44" s="36"/>
      <c r="N44" s="37" t="s">
        <v>167</v>
      </c>
      <c r="O44" s="37"/>
      <c r="P44" s="37"/>
      <c r="Q44" s="37"/>
      <c r="R44" s="38"/>
      <c r="S44" s="36"/>
      <c r="T44" s="37" t="s">
        <v>167</v>
      </c>
      <c r="U44" s="37"/>
      <c r="V44" s="37"/>
      <c r="W44" s="37"/>
      <c r="X44" s="38"/>
      <c r="Y44" s="36"/>
      <c r="Z44" s="37" t="s">
        <v>167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市场预测!M44</f>
        <v>2</v>
      </c>
      <c r="E45" s="41"/>
      <c r="F45" s="41"/>
      <c r="G45" s="42"/>
      <c r="H45" s="12" t="s">
        <v>131</v>
      </c>
      <c r="I45" s="12"/>
      <c r="J45" s="43">
        <v>7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6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0.75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42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35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19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27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35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35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4</v>
      </c>
      <c r="D50" s="28"/>
      <c r="E50" s="29"/>
      <c r="F50" s="23"/>
      <c r="G50" s="19"/>
      <c r="H50" s="20" t="s">
        <v>123</v>
      </c>
      <c r="I50" s="27">
        <f ca="1">IF(D68&gt;=2,RANDBETWEEN(D69,J69),0)</f>
        <v>2</v>
      </c>
      <c r="J50" s="28"/>
      <c r="K50" s="29"/>
      <c r="L50" s="23"/>
      <c r="M50" s="19"/>
      <c r="N50" s="20" t="s">
        <v>123</v>
      </c>
      <c r="O50" s="27">
        <f ca="1">IF(D68&gt;=3,RANDBETWEEN(D69,J69),0)</f>
        <v>3</v>
      </c>
      <c r="P50" s="28"/>
      <c r="Q50" s="29"/>
      <c r="R50" s="23"/>
      <c r="S50" s="19"/>
      <c r="T50" s="20" t="s">
        <v>123</v>
      </c>
      <c r="U50" s="27">
        <f ca="1">IF(D68&gt;=4,RANDBETWEEN(D69,J69),0)</f>
        <v>4</v>
      </c>
      <c r="V50" s="28"/>
      <c r="W50" s="29"/>
      <c r="X50" s="23"/>
      <c r="Y50" s="19"/>
      <c r="Z50" s="20" t="s">
        <v>123</v>
      </c>
      <c r="AA50" s="27">
        <f ca="1">IF(D68&gt;=5,RANDBETWEEN(D69,J69),0)</f>
        <v>4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8.75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9.5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9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8.75</v>
      </c>
      <c r="V51" s="22" t="s">
        <v>121</v>
      </c>
      <c r="W51" s="22"/>
      <c r="X51" s="23"/>
      <c r="Y51" s="19"/>
      <c r="Z51" s="20" t="s">
        <v>124</v>
      </c>
      <c r="AA51" s="30">
        <f ca="1">AA49/AA50</f>
        <v>8.75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2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2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2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2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4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167</v>
      </c>
      <c r="C53" s="31"/>
      <c r="D53" s="31"/>
      <c r="E53" s="31"/>
      <c r="F53" s="32"/>
      <c r="G53" s="19"/>
      <c r="H53" s="31" t="s">
        <v>167</v>
      </c>
      <c r="I53" s="31"/>
      <c r="J53" s="31"/>
      <c r="K53" s="31"/>
      <c r="L53" s="32"/>
      <c r="M53" s="19"/>
      <c r="N53" s="31" t="s">
        <v>167</v>
      </c>
      <c r="O53" s="31"/>
      <c r="P53" s="31"/>
      <c r="Q53" s="31"/>
      <c r="R53" s="32"/>
      <c r="S53" s="19"/>
      <c r="T53" s="31" t="s">
        <v>167</v>
      </c>
      <c r="U53" s="31"/>
      <c r="V53" s="31"/>
      <c r="W53" s="31"/>
      <c r="X53" s="32"/>
      <c r="Y53" s="19"/>
      <c r="Z53" s="31" t="s">
        <v>167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167</v>
      </c>
      <c r="C60" s="31"/>
      <c r="D60" s="31"/>
      <c r="E60" s="31"/>
      <c r="F60" s="32"/>
      <c r="G60" s="19"/>
      <c r="H60" s="31" t="s">
        <v>167</v>
      </c>
      <c r="I60" s="31"/>
      <c r="J60" s="31"/>
      <c r="K60" s="31"/>
      <c r="L60" s="32"/>
      <c r="M60" s="19"/>
      <c r="N60" s="31" t="s">
        <v>167</v>
      </c>
      <c r="O60" s="31"/>
      <c r="P60" s="31"/>
      <c r="Q60" s="31"/>
      <c r="R60" s="32"/>
      <c r="S60" s="19"/>
      <c r="T60" s="31" t="s">
        <v>167</v>
      </c>
      <c r="U60" s="31"/>
      <c r="V60" s="31"/>
      <c r="W60" s="31"/>
      <c r="X60" s="32"/>
      <c r="Y60" s="19"/>
      <c r="Z60" s="31" t="s">
        <v>167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167</v>
      </c>
      <c r="C67" s="37"/>
      <c r="D67" s="37"/>
      <c r="E67" s="37"/>
      <c r="F67" s="38"/>
      <c r="G67" s="36"/>
      <c r="H67" s="37" t="s">
        <v>167</v>
      </c>
      <c r="I67" s="37"/>
      <c r="J67" s="37"/>
      <c r="K67" s="37"/>
      <c r="L67" s="38"/>
      <c r="M67" s="36"/>
      <c r="N67" s="37" t="s">
        <v>167</v>
      </c>
      <c r="O67" s="37"/>
      <c r="P67" s="37"/>
      <c r="Q67" s="37"/>
      <c r="R67" s="38"/>
      <c r="S67" s="36"/>
      <c r="T67" s="37" t="s">
        <v>167</v>
      </c>
      <c r="U67" s="37"/>
      <c r="V67" s="37"/>
      <c r="W67" s="37"/>
      <c r="X67" s="38"/>
      <c r="Y67" s="36"/>
      <c r="Z67" s="37" t="s">
        <v>167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市场预测!N44</f>
        <v>5</v>
      </c>
      <c r="E68" s="41"/>
      <c r="F68" s="41"/>
      <c r="G68" s="42"/>
      <c r="H68" s="12" t="s">
        <v>131</v>
      </c>
      <c r="I68" s="12"/>
      <c r="J68" s="43">
        <v>9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17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2.125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151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47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47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25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36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4</v>
      </c>
      <c r="D73" s="28"/>
      <c r="E73" s="29"/>
      <c r="F73" s="23"/>
      <c r="G73" s="19"/>
      <c r="H73" s="20" t="s">
        <v>123</v>
      </c>
      <c r="I73" s="27">
        <f ca="1">IF(D91&gt;=2,RANDBETWEEN(D92,J92),0)</f>
        <v>4</v>
      </c>
      <c r="J73" s="28"/>
      <c r="K73" s="29"/>
      <c r="L73" s="23"/>
      <c r="M73" s="19"/>
      <c r="N73" s="20" t="s">
        <v>123</v>
      </c>
      <c r="O73" s="27">
        <f ca="1">IF(D91&gt;=3,RANDBETWEEN(D92,J92),0)</f>
        <v>2</v>
      </c>
      <c r="P73" s="28"/>
      <c r="Q73" s="29"/>
      <c r="R73" s="23"/>
      <c r="S73" s="19"/>
      <c r="T73" s="20" t="s">
        <v>123</v>
      </c>
      <c r="U73" s="27">
        <f ca="1">IF(D91&gt;=4,RANDBETWEEN(D92,J92),0)</f>
        <v>3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11.75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11.75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12.5</v>
      </c>
      <c r="P74" s="22" t="s">
        <v>121</v>
      </c>
      <c r="Q74" s="22"/>
      <c r="R74" s="23"/>
      <c r="S74" s="19"/>
      <c r="T74" s="20" t="s">
        <v>124</v>
      </c>
      <c r="U74" s="30">
        <f ca="1">U72/U73</f>
        <v>12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3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3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2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2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167</v>
      </c>
      <c r="C76" s="31"/>
      <c r="D76" s="31"/>
      <c r="E76" s="31"/>
      <c r="F76" s="32"/>
      <c r="G76" s="19"/>
      <c r="H76" s="31" t="s">
        <v>167</v>
      </c>
      <c r="I76" s="31"/>
      <c r="J76" s="31"/>
      <c r="K76" s="31"/>
      <c r="L76" s="32"/>
      <c r="M76" s="19"/>
      <c r="N76" s="31" t="s">
        <v>167</v>
      </c>
      <c r="O76" s="31"/>
      <c r="P76" s="31"/>
      <c r="Q76" s="31"/>
      <c r="R76" s="32"/>
      <c r="S76" s="19"/>
      <c r="T76" s="31" t="s">
        <v>167</v>
      </c>
      <c r="U76" s="31"/>
      <c r="V76" s="31"/>
      <c r="W76" s="31"/>
      <c r="X76" s="32"/>
      <c r="Y76" s="19"/>
      <c r="Z76" s="31" t="s">
        <v>167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167</v>
      </c>
      <c r="C83" s="31"/>
      <c r="D83" s="31"/>
      <c r="E83" s="31"/>
      <c r="F83" s="32"/>
      <c r="G83" s="19"/>
      <c r="H83" s="31" t="s">
        <v>167</v>
      </c>
      <c r="I83" s="31"/>
      <c r="J83" s="31"/>
      <c r="K83" s="31"/>
      <c r="L83" s="32"/>
      <c r="M83" s="19"/>
      <c r="N83" s="31" t="s">
        <v>167</v>
      </c>
      <c r="O83" s="31"/>
      <c r="P83" s="31"/>
      <c r="Q83" s="31"/>
      <c r="R83" s="32"/>
      <c r="S83" s="19"/>
      <c r="T83" s="31" t="s">
        <v>167</v>
      </c>
      <c r="U83" s="31"/>
      <c r="V83" s="31"/>
      <c r="W83" s="31"/>
      <c r="X83" s="32"/>
      <c r="Y83" s="19"/>
      <c r="Z83" s="31" t="s">
        <v>167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167</v>
      </c>
      <c r="C90" s="37"/>
      <c r="D90" s="37"/>
      <c r="E90" s="37"/>
      <c r="F90" s="38"/>
      <c r="G90" s="36"/>
      <c r="H90" s="37" t="s">
        <v>167</v>
      </c>
      <c r="I90" s="37"/>
      <c r="J90" s="37"/>
      <c r="K90" s="37"/>
      <c r="L90" s="38"/>
      <c r="M90" s="36"/>
      <c r="N90" s="37" t="s">
        <v>167</v>
      </c>
      <c r="O90" s="37"/>
      <c r="P90" s="37"/>
      <c r="Q90" s="37"/>
      <c r="R90" s="38"/>
      <c r="S90" s="36"/>
      <c r="T90" s="37" t="s">
        <v>167</v>
      </c>
      <c r="U90" s="37"/>
      <c r="V90" s="37"/>
      <c r="W90" s="37"/>
      <c r="X90" s="38"/>
      <c r="Y90" s="36"/>
      <c r="Z90" s="37" t="s">
        <v>167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市场预测!O44</f>
        <v>4</v>
      </c>
      <c r="E91" s="41"/>
      <c r="F91" s="41"/>
      <c r="G91" s="42"/>
      <c r="H91" s="12" t="s">
        <v>131</v>
      </c>
      <c r="I91" s="12"/>
      <c r="J91" s="43">
        <v>12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13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1.625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155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AX92"/>
  <sheetViews>
    <sheetView view="pageBreakPreview" zoomScale="55" zoomScaleNormal="85" workbookViewId="0">
      <selection activeCell="AL7" sqref="AL7:AL14"/>
    </sheetView>
  </sheetViews>
  <sheetFormatPr defaultColWidth="9" defaultRowHeight="13.5"/>
  <cols>
    <col min="1" max="1" width="2.625" style="2" customWidth="1"/>
    <col min="2" max="2" width="14.0833333333333" customWidth="1"/>
    <col min="3" max="3" width="11.5916666666667" style="2" customWidth="1"/>
    <col min="4" max="4" width="3.625" style="2" customWidth="1"/>
    <col min="5" max="5" width="7.25833333333333" style="2" customWidth="1"/>
    <col min="6" max="7" width="2.625" style="2" customWidth="1"/>
    <col min="8" max="8" width="13.8583333333333" customWidth="1"/>
    <col min="9" max="9" width="12.5" style="2" customWidth="1"/>
    <col min="10" max="10" width="3.625" style="2" customWidth="1"/>
    <col min="11" max="11" width="7.625" style="2" customWidth="1"/>
    <col min="12" max="13" width="2.625" style="2" customWidth="1"/>
    <col min="14" max="14" width="13.4" customWidth="1"/>
    <col min="15" max="15" width="12.0416666666667" style="2" customWidth="1"/>
    <col min="16" max="16" width="3.625" style="2" customWidth="1"/>
    <col min="17" max="17" width="7.625" style="2" customWidth="1"/>
    <col min="18" max="19" width="2.625" style="2" customWidth="1"/>
    <col min="20" max="20" width="13.8583333333333" customWidth="1"/>
    <col min="21" max="21" width="11.3583333333333" style="2" customWidth="1"/>
    <col min="22" max="22" width="3.625" style="2" customWidth="1"/>
    <col min="23" max="23" width="7.625" style="2" customWidth="1"/>
    <col min="24" max="25" width="2.625" style="2" customWidth="1"/>
    <col min="26" max="26" width="14.0833333333333" customWidth="1"/>
    <col min="27" max="27" width="12.95" style="2" customWidth="1"/>
    <col min="28" max="28" width="3.625" style="2" customWidth="1"/>
    <col min="29" max="29" width="7.625" style="2" customWidth="1"/>
    <col min="30" max="30" width="2.625" style="2" customWidth="1"/>
    <col min="31" max="31" width="2.875" style="2" customWidth="1"/>
    <col min="32" max="32" width="6.375" customWidth="1"/>
    <col min="35" max="35" width="2.875" customWidth="1"/>
    <col min="36" max="36" width="5.875" customWidth="1"/>
    <col min="38" max="38" width="10.125" customWidth="1"/>
    <col min="41" max="41" width="2.625" customWidth="1"/>
    <col min="43" max="43" width="8.875" customWidth="1"/>
    <col min="44" max="44" width="10.2166666666667" customWidth="1"/>
    <col min="46" max="46" width="10.675" customWidth="1"/>
    <col min="48" max="48" width="9.99166666666667" customWidth="1"/>
    <col min="49" max="49" width="8.63333333333333" customWidth="1"/>
    <col min="50" max="50" width="10.2166666666667" customWidth="1"/>
  </cols>
  <sheetData>
    <row r="1" s="1" customFormat="1" ht="36" customHeight="1" spans="1:50">
      <c r="A1" s="3"/>
      <c r="B1" s="4"/>
      <c r="C1" s="4"/>
      <c r="D1" s="4"/>
      <c r="E1" s="4"/>
      <c r="F1" s="5"/>
      <c r="G1" s="3"/>
      <c r="H1" s="4"/>
      <c r="I1" s="4"/>
      <c r="J1" s="4"/>
      <c r="K1" s="4"/>
      <c r="L1" s="5"/>
      <c r="M1" s="3"/>
      <c r="N1" s="4"/>
      <c r="O1" s="4"/>
      <c r="P1" s="4"/>
      <c r="Q1" s="4"/>
      <c r="R1" s="5"/>
      <c r="S1" s="3"/>
      <c r="T1" s="4"/>
      <c r="U1" s="4"/>
      <c r="V1" s="4"/>
      <c r="W1" s="4"/>
      <c r="X1" s="5"/>
      <c r="Y1" s="3"/>
      <c r="Z1" s="4"/>
      <c r="AA1" s="4"/>
      <c r="AB1" s="4"/>
      <c r="AC1" s="4"/>
      <c r="AD1" s="5"/>
      <c r="AE1" s="6"/>
      <c r="AF1" s="7" t="s">
        <v>110</v>
      </c>
      <c r="AG1" s="8" t="s">
        <v>111</v>
      </c>
      <c r="AH1" s="9" t="s">
        <v>112</v>
      </c>
      <c r="AJ1" s="10" t="s">
        <v>113</v>
      </c>
      <c r="AK1" s="8" t="s">
        <v>111</v>
      </c>
      <c r="AL1" s="9" t="s">
        <v>114</v>
      </c>
      <c r="AM1" s="9" t="s">
        <v>115</v>
      </c>
      <c r="AN1" s="9" t="s">
        <v>112</v>
      </c>
      <c r="AP1" s="8" t="s">
        <v>111</v>
      </c>
      <c r="AQ1" s="9" t="s">
        <v>84</v>
      </c>
      <c r="AR1" s="9" t="s">
        <v>116</v>
      </c>
      <c r="AS1" s="9" t="s">
        <v>85</v>
      </c>
      <c r="AT1" s="9" t="s">
        <v>117</v>
      </c>
      <c r="AU1" s="9" t="s">
        <v>86</v>
      </c>
      <c r="AV1" s="9" t="s">
        <v>118</v>
      </c>
      <c r="AW1" s="9" t="s">
        <v>87</v>
      </c>
      <c r="AX1" s="9" t="s">
        <v>119</v>
      </c>
    </row>
    <row r="2" s="1" customFormat="1" ht="36" customHeight="1" spans="1:50">
      <c r="A2" s="11"/>
      <c r="B2" s="12" t="s">
        <v>84</v>
      </c>
      <c r="C2" s="12"/>
      <c r="D2" s="12"/>
      <c r="E2" s="12"/>
      <c r="F2" s="13"/>
      <c r="G2" s="11"/>
      <c r="H2" s="12" t="s">
        <v>84</v>
      </c>
      <c r="I2" s="12"/>
      <c r="J2" s="12"/>
      <c r="K2" s="12"/>
      <c r="L2" s="13"/>
      <c r="M2" s="11"/>
      <c r="N2" s="12" t="s">
        <v>84</v>
      </c>
      <c r="O2" s="12"/>
      <c r="P2" s="12"/>
      <c r="Q2" s="12"/>
      <c r="R2" s="13"/>
      <c r="S2" s="11"/>
      <c r="T2" s="12" t="s">
        <v>84</v>
      </c>
      <c r="U2" s="12"/>
      <c r="V2" s="12"/>
      <c r="W2" s="12"/>
      <c r="X2" s="13"/>
      <c r="Y2" s="11"/>
      <c r="Z2" s="12" t="s">
        <v>84</v>
      </c>
      <c r="AA2" s="12"/>
      <c r="AB2" s="12"/>
      <c r="AC2" s="12"/>
      <c r="AD2" s="13"/>
      <c r="AE2" s="14"/>
      <c r="AF2" s="15"/>
      <c r="AG2" s="16"/>
      <c r="AH2" s="17"/>
      <c r="AJ2" s="18"/>
      <c r="AK2" s="16"/>
      <c r="AL2" s="17"/>
      <c r="AM2" s="17"/>
      <c r="AN2" s="17"/>
      <c r="AP2" s="16"/>
      <c r="AQ2" s="17"/>
      <c r="AR2" s="17"/>
      <c r="AS2" s="17"/>
      <c r="AT2" s="17"/>
      <c r="AU2" s="17"/>
      <c r="AV2" s="17"/>
      <c r="AW2" s="17"/>
      <c r="AX2" s="17"/>
    </row>
    <row r="3" s="1" customFormat="1" ht="36" customHeight="1" spans="1:50">
      <c r="A3" s="19"/>
      <c r="B3" s="20" t="s">
        <v>120</v>
      </c>
      <c r="C3" s="21">
        <f ca="1">IF(C4&gt;0,J22*C4-P22*(C4-((D23+J23)/2)),0)</f>
        <v>15</v>
      </c>
      <c r="D3" s="22" t="s">
        <v>121</v>
      </c>
      <c r="E3" s="22"/>
      <c r="F3" s="23" t="s">
        <v>122</v>
      </c>
      <c r="G3" s="19"/>
      <c r="H3" s="20" t="s">
        <v>120</v>
      </c>
      <c r="I3" s="21">
        <f ca="1">IF(I4&gt;0,J22*I4-P22*(I4-((D23+J23)/2)),0)</f>
        <v>0</v>
      </c>
      <c r="J3" s="22" t="s">
        <v>121</v>
      </c>
      <c r="K3" s="22"/>
      <c r="L3" s="23"/>
      <c r="M3" s="19"/>
      <c r="N3" s="20" t="s">
        <v>120</v>
      </c>
      <c r="O3" s="21">
        <f ca="1">IF(O4&gt;0,J22*O4-P22*(O4-((D23+J23)/2)),0)</f>
        <v>0</v>
      </c>
      <c r="P3" s="22" t="s">
        <v>121</v>
      </c>
      <c r="Q3" s="22"/>
      <c r="R3" s="23"/>
      <c r="S3" s="19"/>
      <c r="T3" s="20" t="s">
        <v>120</v>
      </c>
      <c r="U3" s="21">
        <f ca="1">IF(U4&gt;0,J22*U4-P22*(U4-((D23+J23)/2)),0)</f>
        <v>0</v>
      </c>
      <c r="V3" s="22" t="s">
        <v>121</v>
      </c>
      <c r="W3" s="22"/>
      <c r="X3" s="23"/>
      <c r="Y3" s="19"/>
      <c r="Z3" s="20" t="s">
        <v>120</v>
      </c>
      <c r="AA3" s="21">
        <f ca="1">IF(AA4&gt;0,J22*AA4-P22*(AA4-((D23+J23)/2)),0)</f>
        <v>0</v>
      </c>
      <c r="AB3" s="22" t="s">
        <v>121</v>
      </c>
      <c r="AC3" s="22"/>
      <c r="AD3" s="23"/>
      <c r="AE3" s="22"/>
      <c r="AF3" s="15"/>
      <c r="AG3" s="8" t="s">
        <v>50</v>
      </c>
      <c r="AH3" s="24">
        <f>'7年全球'!AN3</f>
        <v>0</v>
      </c>
      <c r="AJ3" s="18"/>
      <c r="AK3" s="8" t="s">
        <v>50</v>
      </c>
      <c r="AL3" s="25">
        <f ca="1" t="shared" ref="AL3:AL7" si="0">AQ3+AS3+AU3+AW3</f>
        <v>0</v>
      </c>
      <c r="AM3" s="25">
        <f t="shared" ref="AM3:AM17" si="1">AR3+AT3+AV3+AX3</f>
        <v>0</v>
      </c>
      <c r="AN3" s="26"/>
      <c r="AP3" s="8">
        <v>1</v>
      </c>
      <c r="AQ3" s="25">
        <f ca="1">IF(E4=AP3,C3,0)+IF(K4=AP3,I3,0)+IF(Q4=AP3,O3,0)++IF(W4=AP3,U3,0)+IF(AC4=AP3,AA3,0)+IF(E11=AP3,C10,0)+IF(K11=AP3,I10,0)+IF(Q11=AP3,O10,0)+IF(W11=AP3,U10,0)+IF(AC11=AP3,AA10,0)+IF(E18=AP3,C17,0)+IF(K18=AP3,I17,0)+IF(Q18=AP3,O17,0)+IF(W18=AP3,U17,0)+IF(AC18=AP3,AA17,0)</f>
        <v>0</v>
      </c>
      <c r="AR3" s="26"/>
      <c r="AS3" s="25">
        <f ca="1">IF(E27=AP3,C26,0)+IF(K27=AP3,I26,0)+IF(Q27=AP3,O26,0)++IF(W27=AP3,U26,0)+IF(AC27=AP3,AA26,0)+IF(E34=AP3,C33,0)+IF(K34=AP3,I33,0)+IF(Q34=AP3,O33,0)+IF(W34=AP3,U33,0)+IF(AC34=AP3,AA33,0)+IF(E41=AP3,C40,0)+IF(K41=AP3,I40,0)+IF(Q41=AP3,O40,0)+IF(W41=AP3,U40,0)+IF(AC41=AP3,AA40,0)</f>
        <v>0</v>
      </c>
      <c r="AT3" s="26"/>
      <c r="AU3" s="25">
        <f ca="1">IF(E50=AP3,C49,0)+IF(K50=AP3,I49,0)+IF(Q50=AP3,O49,0)++IF(W50=AP3,U49,0)+IF(AC50=AP3,AA49,0)+IF(E57=AP3,C56,0)+IF(K57=AP3,I56,0)+IF(Q57=AP3,O56,0)+IF(W57=AP3,U56,0)+IF(AC57=AP3,AA56,0)+IF(E64=AP3,C63,0)+IF(K64=AP3,I63,0)+IF(Q64=AP3,O63,0)+IF(W64=AP3,U63,0)+IF(AC64=AP3,AA63,0)</f>
        <v>0</v>
      </c>
      <c r="AV3" s="26"/>
      <c r="AW3" s="25">
        <f ca="1">IF(E73=AP3,C72,0)+IF(K73=AP3,I72,0)+IF(Q73=AP3,O72,0)++IF(W73=AP3,U72,0)+IF(AC73=AP3,AA72,0)+IF(E80=AP3,C79,0)+IF(K80=AP3,I79,0)+IF(Q80=AP3,O79,0)+IF(W80=AP3,U79,0)+IF(AC80=AP3,AA79,0)+IF(E87=AP3,C86,0)+IF(K87=AP3,I86,0)+IF(Q87=AP3,O86,0)+IF(W87=AP3,U86,0)+IF(AC87=AP3,AA86,0)</f>
        <v>0</v>
      </c>
      <c r="AX3" s="26"/>
    </row>
    <row r="4" s="1" customFormat="1" ht="36" customHeight="1" spans="1:50">
      <c r="A4" s="19"/>
      <c r="B4" s="20" t="s">
        <v>123</v>
      </c>
      <c r="C4" s="27">
        <f ca="1">IF(D22&gt;=1,RANDBETWEEN(D23,J23),0)</f>
        <v>2</v>
      </c>
      <c r="D4" s="28"/>
      <c r="E4" s="29"/>
      <c r="F4" s="23"/>
      <c r="G4" s="19"/>
      <c r="H4" s="20" t="s">
        <v>123</v>
      </c>
      <c r="I4" s="27">
        <f ca="1">IF(D22&gt;=2,RANDBETWEEN(D23,J23),0)</f>
        <v>0</v>
      </c>
      <c r="J4" s="28"/>
      <c r="K4" s="29"/>
      <c r="L4" s="23"/>
      <c r="M4" s="19"/>
      <c r="N4" s="20" t="s">
        <v>123</v>
      </c>
      <c r="O4" s="27">
        <f ca="1">IF(D22&gt;=3,RANDBETWEEN(D23,J23),0)</f>
        <v>0</v>
      </c>
      <c r="P4" s="28"/>
      <c r="Q4" s="29"/>
      <c r="R4" s="23"/>
      <c r="S4" s="19"/>
      <c r="T4" s="20" t="s">
        <v>123</v>
      </c>
      <c r="U4" s="27">
        <f ca="1">IF(D22&gt;=4,RANDBETWEEN(D23,J23),0)</f>
        <v>0</v>
      </c>
      <c r="V4" s="28"/>
      <c r="W4" s="29"/>
      <c r="X4" s="23"/>
      <c r="Y4" s="19"/>
      <c r="Z4" s="20" t="s">
        <v>123</v>
      </c>
      <c r="AA4" s="27">
        <f ca="1">IF(D22&gt;=5,RANDBETWEEN(D23,J23),0)</f>
        <v>0</v>
      </c>
      <c r="AB4" s="28"/>
      <c r="AC4" s="29"/>
      <c r="AD4" s="23"/>
      <c r="AE4" s="22"/>
      <c r="AF4" s="15"/>
      <c r="AG4" s="8" t="s">
        <v>52</v>
      </c>
      <c r="AH4" s="24">
        <f>'7年全球'!AN4</f>
        <v>0</v>
      </c>
      <c r="AJ4" s="18"/>
      <c r="AK4" s="8" t="s">
        <v>52</v>
      </c>
      <c r="AL4" s="25">
        <f ca="1" t="shared" si="0"/>
        <v>0</v>
      </c>
      <c r="AM4" s="25">
        <f t="shared" si="1"/>
        <v>0</v>
      </c>
      <c r="AN4" s="26"/>
      <c r="AP4" s="8">
        <v>2</v>
      </c>
      <c r="AQ4" s="25">
        <f ca="1">IF(E4=AP4,C3,0)+IF(K4=AP4,I3,0)+IF(Q4=AP4,O3,0)++IF(W4=AP4,U3,0)+IF(AC4=AP4,AA3,0)+IF(E11=AP4,C10,0)+IF(K11=AP4,I10,0)+IF(Q11=AP4,O10,0)+IF(W11=AP4,U10,0)+IF(AC11=AP4,AA10,0)+IF(E18=AP4,C17,0)+IF(K18=AP4,I17,0)+IF(Q18=AP4,O17,0)+IF(W18=AP4,U17,0)+IF(AC18=AP4,AA17,0)</f>
        <v>0</v>
      </c>
      <c r="AR4" s="26"/>
      <c r="AS4" s="25">
        <f ca="1">IF(E27=AP4,C26,0)+IF(K27=AP4,I26,0)+IF(Q27=AP4,O26,0)++IF(W27=AP4,U26,0)+IF(AC27=AP4,AA26,0)+IF(E34=AP4,C33,0)+IF(K34=AP4,I33,0)+IF(Q34=AP4,O33,0)+IF(W34=AP4,U33,0)+IF(AC34=AP4,AA33,0)+IF(E41=AP4,C40,0)+IF(K41=AP4,I40,0)+IF(Q41=AP4,O40,0)+IF(W41=AP4,U40,0)+IF(AC41=AP4,AA40,0)</f>
        <v>0</v>
      </c>
      <c r="AT4" s="26"/>
      <c r="AU4" s="25">
        <f ca="1">IF(E50=AP4,C49,0)+IF(K50=AP4,I49,0)+IF(Q50=AP4,O49,0)++IF(W50=AP4,U49,0)+IF(AC50=AP4,AA49,0)+IF(E57=AP4,C56,0)+IF(K57=AP4,I56,0)+IF(Q57=AP4,O56,0)+IF(W57=AP4,U56,0)+IF(AC57=AP4,AA56,0)+IF(E64=AP4,C63,0)+IF(K64=AP4,I63,0)+IF(Q64=AP4,O63,0)+IF(W64=AP4,U63,0)+IF(AC64=AP4,AA63,0)</f>
        <v>0</v>
      </c>
      <c r="AV4" s="26"/>
      <c r="AW4" s="25">
        <f ca="1">IF(E73=AP4,C72,0)+IF(K73=AP4,I72,0)+IF(Q73=AP4,O72,0)++IF(W73=AP4,U72,0)+IF(AC73=AP4,AA72,0)+IF(E80=AP4,C79,0)+IF(K80=AP4,I79,0)+IF(Q80=AP4,O79,0)+IF(W80=AP4,U79,0)+IF(AC80=AP4,AA79,0)+IF(E87=AP4,C86,0)+IF(K87=AP4,I86,0)+IF(Q87=AP4,O86,0)+IF(W87=AP4,U86,0)+IF(AC87=AP4,AA86,0)</f>
        <v>0</v>
      </c>
      <c r="AX4" s="26"/>
    </row>
    <row r="5" s="1" customFormat="1" ht="36" customHeight="1" spans="1:50">
      <c r="A5" s="19"/>
      <c r="B5" s="20" t="s">
        <v>124</v>
      </c>
      <c r="C5" s="30">
        <f ca="1">C3/C4</f>
        <v>7.5</v>
      </c>
      <c r="D5" s="22" t="s">
        <v>121</v>
      </c>
      <c r="E5" s="22"/>
      <c r="F5" s="23"/>
      <c r="G5" s="19"/>
      <c r="H5" s="20" t="s">
        <v>124</v>
      </c>
      <c r="I5" s="30" t="e">
        <f ca="1">I3/I4</f>
        <v>#DIV/0!</v>
      </c>
      <c r="J5" s="22" t="s">
        <v>121</v>
      </c>
      <c r="K5" s="22"/>
      <c r="L5" s="23"/>
      <c r="M5" s="19"/>
      <c r="N5" s="20" t="s">
        <v>124</v>
      </c>
      <c r="O5" s="30" t="e">
        <f ca="1">O3/O4</f>
        <v>#DIV/0!</v>
      </c>
      <c r="P5" s="22" t="s">
        <v>121</v>
      </c>
      <c r="Q5" s="22"/>
      <c r="R5" s="23"/>
      <c r="S5" s="19"/>
      <c r="T5" s="20" t="s">
        <v>124</v>
      </c>
      <c r="U5" s="30" t="e">
        <f ca="1">U3/U4</f>
        <v>#DIV/0!</v>
      </c>
      <c r="V5" s="22" t="s">
        <v>121</v>
      </c>
      <c r="W5" s="22"/>
      <c r="X5" s="23"/>
      <c r="Y5" s="19"/>
      <c r="Z5" s="20" t="s">
        <v>124</v>
      </c>
      <c r="AA5" s="30" t="e">
        <f ca="1">AA3/AA4</f>
        <v>#DIV/0!</v>
      </c>
      <c r="AB5" s="22" t="s">
        <v>121</v>
      </c>
      <c r="AC5" s="22"/>
      <c r="AD5" s="23"/>
      <c r="AE5" s="22"/>
      <c r="AF5" s="15"/>
      <c r="AG5" s="8" t="s">
        <v>53</v>
      </c>
      <c r="AH5" s="24">
        <f>'7年全球'!AN5</f>
        <v>0</v>
      </c>
      <c r="AJ5" s="18"/>
      <c r="AK5" s="8" t="s">
        <v>53</v>
      </c>
      <c r="AL5" s="25">
        <f ca="1" t="shared" si="0"/>
        <v>0</v>
      </c>
      <c r="AM5" s="25">
        <f t="shared" si="1"/>
        <v>0</v>
      </c>
      <c r="AN5" s="26"/>
      <c r="AP5" s="8">
        <v>3</v>
      </c>
      <c r="AQ5" s="25">
        <f ca="1">IF(E4=AP5,C3,0)+IF(K4=AP5,I3,0)+IF(Q4=AP5,O3,0)++IF(W4=AP5,U3,0)+IF(AC4=AP5,AA3,0)+IF(E11=AP5,C10,0)+IF(K11=AP5,I10,0)+IF(Q11=AP5,O10,0)+IF(W11=AP5,U10,0)+IF(AC11=AP5,AA10,0)+IF(E18=AP5,C17,0)+IF(K18=AP5,I17,0)+IF(Q18=AP5,O17,0)+IF(W18=AP5,U17,0)+IF(AC18=AP5,AA17,0)</f>
        <v>0</v>
      </c>
      <c r="AR5" s="26"/>
      <c r="AS5" s="25">
        <f ca="1">IF(E27=AP5,C26,0)+IF(K27=AP5,I26,0)+IF(Q27=AP5,O26,0)++IF(W27=AP5,U26,0)+IF(AC27=AP5,AA26,0)+IF(E34=AP5,C33,0)+IF(K34=AP5,I33,0)+IF(Q34=AP5,O33,0)+IF(W34=AP5,U33,0)+IF(AC34=AP5,AA33,0)+IF(E41=AP5,C40,0)+IF(K41=AP5,I40,0)+IF(Q41=AP5,O40,0)+IF(W41=AP5,U40,0)+IF(AC41=AP5,AA40,0)</f>
        <v>0</v>
      </c>
      <c r="AT5" s="26"/>
      <c r="AU5" s="25">
        <f ca="1">IF(E50=AP5,C49,0)+IF(K50=AP5,I49,0)+IF(Q50=AP5,O49,0)++IF(W50=AP5,U49,0)+IF(AC50=AP5,AA49,0)+IF(E57=AP5,C56,0)+IF(K57=AP5,I56,0)+IF(Q57=AP5,O56,0)+IF(W57=AP5,U56,0)+IF(AC57=AP5,AA56,0)+IF(E64=AP5,C63,0)+IF(K64=AP5,I63,0)+IF(Q64=AP5,O63,0)+IF(W64=AP5,U63,0)+IF(AC64=AP5,AA63,0)</f>
        <v>0</v>
      </c>
      <c r="AV5" s="26"/>
      <c r="AW5" s="25">
        <f ca="1">IF(E73=AP5,C72,0)+IF(K73=AP5,I72,0)+IF(Q73=AP5,O72,0)++IF(W73=AP5,U72,0)+IF(AC73=AP5,AA72,0)+IF(E80=AP5,C79,0)+IF(K80=AP5,I79,0)+IF(Q80=AP5,O79,0)+IF(W80=AP5,U79,0)+IF(AC80=AP5,AA79,0)+IF(E87=AP5,C86,0)+IF(K87=AP5,I86,0)+IF(Q87=AP5,O86,0)+IF(W87=AP5,U86,0)+IF(AC87=AP5,AA86,0)</f>
        <v>0</v>
      </c>
      <c r="AX5" s="26"/>
    </row>
    <row r="6" s="1" customFormat="1" ht="36" customHeight="1" spans="1:50">
      <c r="A6" s="19"/>
      <c r="B6" s="20" t="s">
        <v>125</v>
      </c>
      <c r="C6" s="28">
        <f ca="1">IF(C4&gt;0,RANDBETWEEN(2,4),0)</f>
        <v>4</v>
      </c>
      <c r="D6" s="22" t="s">
        <v>126</v>
      </c>
      <c r="E6" s="22"/>
      <c r="F6" s="23"/>
      <c r="G6" s="19"/>
      <c r="H6" s="20" t="s">
        <v>125</v>
      </c>
      <c r="I6" s="28">
        <f ca="1">IF(I4&gt;0,RANDBETWEEN(2,4),0)</f>
        <v>0</v>
      </c>
      <c r="J6" s="22" t="s">
        <v>126</v>
      </c>
      <c r="K6" s="22"/>
      <c r="L6" s="23"/>
      <c r="M6" s="19"/>
      <c r="N6" s="20" t="s">
        <v>125</v>
      </c>
      <c r="O6" s="28">
        <f ca="1">IF(O4&gt;0,RANDBETWEEN(2,4),0)</f>
        <v>0</v>
      </c>
      <c r="P6" s="22" t="s">
        <v>126</v>
      </c>
      <c r="Q6" s="22"/>
      <c r="R6" s="23"/>
      <c r="S6" s="19"/>
      <c r="T6" s="20" t="s">
        <v>125</v>
      </c>
      <c r="U6" s="28">
        <f ca="1">IF(U4&gt;0,RANDBETWEEN(2,4),0)</f>
        <v>0</v>
      </c>
      <c r="V6" s="22" t="s">
        <v>126</v>
      </c>
      <c r="W6" s="22"/>
      <c r="X6" s="23"/>
      <c r="Y6" s="19"/>
      <c r="Z6" s="20" t="s">
        <v>125</v>
      </c>
      <c r="AA6" s="28">
        <f ca="1">IF(AA4&gt;0,RANDBETWEEN(2,4),0)</f>
        <v>0</v>
      </c>
      <c r="AB6" s="22" t="s">
        <v>126</v>
      </c>
      <c r="AC6" s="22"/>
      <c r="AD6" s="23"/>
      <c r="AE6" s="22"/>
      <c r="AF6" s="15"/>
      <c r="AG6" s="8" t="s">
        <v>54</v>
      </c>
      <c r="AH6" s="24">
        <f>'7年全球'!AN6</f>
        <v>0</v>
      </c>
      <c r="AJ6" s="18"/>
      <c r="AK6" s="8" t="s">
        <v>54</v>
      </c>
      <c r="AL6" s="25">
        <f ca="1" t="shared" si="0"/>
        <v>0</v>
      </c>
      <c r="AM6" s="25">
        <f t="shared" si="1"/>
        <v>0</v>
      </c>
      <c r="AN6" s="26"/>
      <c r="AP6" s="8">
        <v>4</v>
      </c>
      <c r="AQ6" s="25">
        <f ca="1">IF(E4=AP6,C3,0)+IF(K4=AP6,I3,0)+IF(Q4=AP6,O3,0)++IF(W4=AP6,U3,0)+IF(AC4=AP6,AA3,0)+IF(E11=AP6,C10,0)+IF(K11=AP6,I10,0)+IF(Q11=AP6,O10,0)+IF(W11=AP6,U10,0)+IF(AC11=AP6,AA10,0)+IF(E18=AP6,C17,0)+IF(K18=AP6,I17,0)+IF(Q18=AP6,O17,0)+IF(W18=AP6,U17,0)+IF(AC18=AP6,AA17,0)</f>
        <v>0</v>
      </c>
      <c r="AR6" s="26"/>
      <c r="AS6" s="25">
        <f ca="1">IF(E27=AP6,C26,0)+IF(K27=AP6,I26,0)+IF(Q27=AP6,O26,0)++IF(W27=AP6,U26,0)+IF(AC27=AP6,AA26,0)+IF(E34=AP6,C33,0)+IF(K34=AP6,I33,0)+IF(Q34=AP6,O33,0)+IF(W34=AP6,U33,0)+IF(AC34=AP6,AA33,0)+IF(E41=AP6,C40,0)+IF(K41=AP6,I40,0)+IF(Q41=AP6,O40,0)+IF(W41=AP6,U40,0)+IF(AC41=AP6,AA40,0)</f>
        <v>0</v>
      </c>
      <c r="AT6" s="26"/>
      <c r="AU6" s="25">
        <f ca="1">IF(E50=AP6,C49,0)+IF(K50=AP6,I49,0)+IF(Q50=AP6,O49,0)++IF(W50=AP6,U49,0)+IF(AC50=AP6,AA49,0)+IF(E57=AP6,C56,0)+IF(K57=AP6,I56,0)+IF(Q57=AP6,O56,0)+IF(W57=AP6,U56,0)+IF(AC57=AP6,AA56,0)+IF(E64=AP6,C63,0)+IF(K64=AP6,I63,0)+IF(Q64=AP6,O63,0)+IF(W64=AP6,U63,0)+IF(AC64=AP6,AA63,0)</f>
        <v>0</v>
      </c>
      <c r="AV6" s="26"/>
      <c r="AW6" s="25">
        <f ca="1">IF(E73=AP6,C72,0)+IF(K73=AP6,I72,0)+IF(Q73=AP6,O72,0)++IF(W73=AP6,U72,0)+IF(AC73=AP6,AA72,0)+IF(E80=AP6,C79,0)+IF(K80=AP6,I79,0)+IF(Q80=AP6,O79,0)+IF(W80=AP6,U79,0)+IF(AC80=AP6,AA79,0)+IF(E87=AP6,C86,0)+IF(K87=AP6,I86,0)+IF(Q87=AP6,O86,0)+IF(W87=AP6,U86,0)+IF(AC87=AP6,AA86,0)</f>
        <v>0</v>
      </c>
      <c r="AX6" s="26"/>
    </row>
    <row r="7" s="1" customFormat="1" ht="36" customHeight="1" spans="1:50">
      <c r="A7" s="19"/>
      <c r="B7" s="31" t="s">
        <v>168</v>
      </c>
      <c r="C7" s="31"/>
      <c r="D7" s="31"/>
      <c r="E7" s="31"/>
      <c r="F7" s="32"/>
      <c r="G7" s="19"/>
      <c r="H7" s="31" t="s">
        <v>168</v>
      </c>
      <c r="I7" s="31"/>
      <c r="J7" s="31"/>
      <c r="K7" s="31"/>
      <c r="L7" s="32"/>
      <c r="M7" s="19"/>
      <c r="N7" s="31" t="s">
        <v>168</v>
      </c>
      <c r="O7" s="31"/>
      <c r="P7" s="31"/>
      <c r="Q7" s="31"/>
      <c r="R7" s="32"/>
      <c r="S7" s="19"/>
      <c r="T7" s="31" t="s">
        <v>168</v>
      </c>
      <c r="U7" s="31"/>
      <c r="V7" s="31"/>
      <c r="W7" s="31"/>
      <c r="X7" s="32"/>
      <c r="Y7" s="19"/>
      <c r="Z7" s="31" t="s">
        <v>168</v>
      </c>
      <c r="AA7" s="31"/>
      <c r="AB7" s="31"/>
      <c r="AC7" s="31"/>
      <c r="AD7" s="32"/>
      <c r="AE7" s="33"/>
      <c r="AF7" s="15"/>
      <c r="AG7" s="8" t="s">
        <v>55</v>
      </c>
      <c r="AH7" s="24">
        <f>'7年全球'!AN7</f>
        <v>0</v>
      </c>
      <c r="AJ7" s="18"/>
      <c r="AK7" s="8" t="s">
        <v>55</v>
      </c>
      <c r="AL7" s="25">
        <f ca="1" t="shared" si="0"/>
        <v>0</v>
      </c>
      <c r="AM7" s="25">
        <f t="shared" si="1"/>
        <v>0</v>
      </c>
      <c r="AN7" s="26"/>
      <c r="AP7" s="8">
        <v>5</v>
      </c>
      <c r="AQ7" s="25">
        <f ca="1">IF(E4=AP7,C3,0)+IF(K4=AP7,I3,0)+IF(Q4=AP7,O3,0)++IF(W4=AP7,U3,0)+IF(AC4=AP7,AA3,0)+IF(E11=AP7,C10,0)+IF(K11=AP7,I10,0)+IF(Q11=AP7,O10,0)+IF(W11=AP7,U10,0)+IF(AC11=AP7,AA10,0)+IF(E18=AP7,C17,0)+IF(K18=AP7,I17,0)+IF(Q18=AP7,O17,0)+IF(W18=AP7,U17,0)+IF(AC18=AP7,AA17,0)</f>
        <v>0</v>
      </c>
      <c r="AR7" s="26"/>
      <c r="AS7" s="25">
        <f ca="1">IF(E27=AP7,C26,0)+IF(K27=AP7,I26,0)+IF(Q27=AP7,O26,0)++IF(W27=AP7,U26,0)+IF(AC27=AP7,AA26,0)+IF(E34=AP7,C33,0)+IF(K34=AP7,I33,0)+IF(Q34=AP7,O33,0)+IF(W34=AP7,U33,0)+IF(AC34=AP7,AA33,0)+IF(E41=AP7,C40,0)+IF(K41=AP7,I40,0)+IF(Q41=AP7,O40,0)+IF(W41=AP7,U40,0)+IF(AC41=AP7,AA40,0)</f>
        <v>0</v>
      </c>
      <c r="AT7" s="26"/>
      <c r="AU7" s="25">
        <f ca="1">IF(E50=AP7,C49,0)+IF(K50=AP7,I49,0)+IF(Q50=AP7,O49,0)++IF(W50=AP7,U49,0)+IF(AC50=AP7,AA49,0)+IF(E57=AP7,C56,0)+IF(K57=AP7,I56,0)+IF(Q57=AP7,O56,0)+IF(W57=AP7,U56,0)+IF(AC57=AP7,AA56,0)+IF(E64=AP7,C63,0)+IF(K64=AP7,I63,0)+IF(Q64=AP7,O63,0)+IF(W64=AP7,U63,0)+IF(AC64=AP7,AA63,0)</f>
        <v>0</v>
      </c>
      <c r="AV7" s="26"/>
      <c r="AW7" s="25">
        <f ca="1">IF(E73=AP7,C72,0)+IF(K73=AP7,I72,0)+IF(Q73=AP7,O72,0)++IF(W73=AP7,U72,0)+IF(AC73=AP7,AA72,0)+IF(E80=AP7,C79,0)+IF(K80=AP7,I79,0)+IF(Q80=AP7,O79,0)+IF(W80=AP7,U79,0)+IF(AC80=AP7,AA79,0)+IF(E87=AP7,C86,0)+IF(K87=AP7,I86,0)+IF(Q87=AP7,O86,0)+IF(W87=AP7,U86,0)+IF(AC87=AP7,AA86,0)</f>
        <v>0</v>
      </c>
      <c r="AX7" s="26"/>
    </row>
    <row r="8" s="1" customFormat="1" ht="36" customHeight="1" spans="1:50">
      <c r="A8" s="3"/>
      <c r="B8" s="4"/>
      <c r="C8" s="4"/>
      <c r="D8" s="4"/>
      <c r="E8" s="4"/>
      <c r="F8" s="5"/>
      <c r="G8" s="3"/>
      <c r="H8" s="4"/>
      <c r="I8" s="4"/>
      <c r="J8" s="4"/>
      <c r="K8" s="4"/>
      <c r="L8" s="5"/>
      <c r="M8" s="3"/>
      <c r="N8" s="4"/>
      <c r="O8" s="4"/>
      <c r="P8" s="4"/>
      <c r="Q8" s="4"/>
      <c r="R8" s="5"/>
      <c r="S8" s="3"/>
      <c r="T8" s="4"/>
      <c r="U8" s="4"/>
      <c r="V8" s="4"/>
      <c r="W8" s="4"/>
      <c r="X8" s="5"/>
      <c r="Y8" s="3"/>
      <c r="Z8" s="4"/>
      <c r="AA8" s="4"/>
      <c r="AB8" s="4"/>
      <c r="AC8" s="4"/>
      <c r="AD8" s="5"/>
      <c r="AE8" s="33"/>
      <c r="AF8" s="15"/>
      <c r="AG8" s="8" t="s">
        <v>56</v>
      </c>
      <c r="AH8" s="24">
        <f>'7年全球'!AN8</f>
        <v>0</v>
      </c>
      <c r="AJ8" s="18"/>
      <c r="AK8" s="8" t="s">
        <v>56</v>
      </c>
      <c r="AL8" s="25">
        <f ca="1" t="shared" ref="AL8:AL14" si="2">AQ8+AS8+AU8+AW8</f>
        <v>0</v>
      </c>
      <c r="AM8" s="25">
        <f t="shared" si="1"/>
        <v>0</v>
      </c>
      <c r="AN8" s="26"/>
      <c r="AP8" s="8">
        <v>6</v>
      </c>
      <c r="AQ8" s="25">
        <f ca="1">IF(E4=AP8,C3,0)+IF(K4=AP8,I3,0)+IF(Q4=AP8,O3,0)++IF(W4=AP8,U3,0)+IF(AC4=AP8,AA3,0)+IF(E11=AP8,C10,0)+IF(K11=AP8,I10,0)+IF(Q11=AP8,O10,0)+IF(W11=AP8,U10,0)+IF(AC11=AP8,AA10,0)+IF(E18=AP8,C17,0)+IF(K18=AP8,I17,0)+IF(Q18=AP8,O17,0)+IF(W18=AP8,U17,0)+IF(AC18=AP8,AA17,0)</f>
        <v>0</v>
      </c>
      <c r="AR8" s="26"/>
      <c r="AS8" s="25">
        <f ca="1">IF(E27=AP8,C26,0)+IF(K27=AP8,I26,0)+IF(Q27=AP8,O26,0)++IF(W27=AP8,U26,0)+IF(AC27=AP8,AA26,0)+IF(E34=AP8,C33,0)+IF(K34=AP8,I33,0)+IF(Q34=AP8,O33,0)+IF(W34=AP8,U33,0)+IF(AC34=AP8,AA33,0)+IF(E41=AP8,C40,0)+IF(K41=AP8,I40,0)+IF(Q41=AP8,O40,0)+IF(W41=AP8,U40,0)+IF(AC41=AP8,AA40,0)</f>
        <v>0</v>
      </c>
      <c r="AT8" s="26"/>
      <c r="AU8" s="25">
        <f ca="1">IF(E50=AP8,C49,0)+IF(K50=AP8,I49,0)+IF(Q50=AP8,O49,0)++IF(W50=AP8,U49,0)+IF(AC50=AP8,AA49,0)+IF(E57=AP8,C56,0)+IF(K57=AP8,I56,0)+IF(Q57=AP8,O56,0)+IF(W57=AP8,U56,0)+IF(AC57=AP8,AA56,0)+IF(E64=AP8,C63,0)+IF(K64=AP8,I63,0)+IF(Q64=AP8,O63,0)+IF(W64=AP8,U63,0)+IF(AC64=AP8,AA63,0)</f>
        <v>0</v>
      </c>
      <c r="AV8" s="26"/>
      <c r="AW8" s="25">
        <f ca="1">IF(E73=AP8,C72,0)+IF(K73=AP8,I72,0)+IF(Q73=AP8,O72,0)++IF(W73=AP8,U72,0)+IF(AC73=AP8,AA72,0)+IF(E80=AP8,C79,0)+IF(K80=AP8,I79,0)+IF(Q80=AP8,O79,0)+IF(W80=AP8,U79,0)+IF(AC80=AP8,AA79,0)+IF(E87=AP8,C86,0)+IF(K87=AP8,I86,0)+IF(Q87=AP8,O86,0)+IF(W87=AP8,U86,0)+IF(AC87=AP8,AA86,0)</f>
        <v>0</v>
      </c>
      <c r="AX8" s="26"/>
    </row>
    <row r="9" s="1" customFormat="1" ht="36" customHeight="1" spans="1:50">
      <c r="A9" s="11"/>
      <c r="B9" s="12" t="s">
        <v>84</v>
      </c>
      <c r="C9" s="12"/>
      <c r="D9" s="12"/>
      <c r="E9" s="12"/>
      <c r="F9" s="13"/>
      <c r="G9" s="11"/>
      <c r="H9" s="12" t="s">
        <v>84</v>
      </c>
      <c r="I9" s="12"/>
      <c r="J9" s="12"/>
      <c r="K9" s="12"/>
      <c r="L9" s="13"/>
      <c r="M9" s="11"/>
      <c r="N9" s="12" t="s">
        <v>84</v>
      </c>
      <c r="O9" s="12"/>
      <c r="P9" s="12"/>
      <c r="Q9" s="12"/>
      <c r="R9" s="13"/>
      <c r="S9" s="11"/>
      <c r="T9" s="12" t="s">
        <v>84</v>
      </c>
      <c r="U9" s="12"/>
      <c r="V9" s="12"/>
      <c r="W9" s="12"/>
      <c r="X9" s="13"/>
      <c r="Y9" s="11"/>
      <c r="Z9" s="12" t="s">
        <v>84</v>
      </c>
      <c r="AA9" s="12"/>
      <c r="AB9" s="12"/>
      <c r="AC9" s="12"/>
      <c r="AD9" s="13"/>
      <c r="AE9" s="14"/>
      <c r="AF9" s="15"/>
      <c r="AG9" s="8" t="s">
        <v>57</v>
      </c>
      <c r="AH9" s="24">
        <f>'7年全球'!AN9</f>
        <v>0</v>
      </c>
      <c r="AJ9" s="18"/>
      <c r="AK9" s="8" t="s">
        <v>57</v>
      </c>
      <c r="AL9" s="25">
        <f ca="1" t="shared" si="2"/>
        <v>0</v>
      </c>
      <c r="AM9" s="25">
        <f t="shared" si="1"/>
        <v>0</v>
      </c>
      <c r="AN9" s="26"/>
      <c r="AP9" s="8">
        <v>7</v>
      </c>
      <c r="AQ9" s="25">
        <f ca="1">IF(E4=AP9,C3,0)+IF(K4=AP9,I3,0)+IF(Q4=AP9,O3,0)++IF(W4=AP9,U3,0)+IF(AC4=AP9,AA3,0)+IF(E11=AP9,C10,0)+IF(K11=AP9,I10,0)+IF(Q11=AP9,O10,0)+IF(W11=AP9,U10,0)+IF(AC11=AP9,AA10,0)+IF(E18=AP9,C17,0)+IF(K18=AP9,I17,0)+IF(Q18=AP9,O17,0)+IF(W18=AP9,U17,0)+IF(AC18=AP9,AA17,0)</f>
        <v>0</v>
      </c>
      <c r="AR9" s="26"/>
      <c r="AS9" s="25">
        <f ca="1">IF(E27=AP9,C26,0)+IF(K27=AP9,I26,0)+IF(Q27=AP9,O26,0)++IF(W27=AP9,U26,0)+IF(AC27=AP9,AA26,0)+IF(E34=AP9,C33,0)+IF(K34=AP9,I33,0)+IF(Q34=AP9,O33,0)+IF(W34=AP9,U33,0)+IF(AC34=AP9,AA33,0)+IF(E41=AP9,C40,0)+IF(K41=AP9,I40,0)+IF(Q41=AP9,O40,0)+IF(W41=AP9,U40,0)+IF(AC41=AP9,AA40,0)</f>
        <v>0</v>
      </c>
      <c r="AT9" s="26"/>
      <c r="AU9" s="25">
        <f ca="1">IF(E50=AP9,C49,0)+IF(K50=AP9,I49,0)+IF(Q50=AP9,O49,0)++IF(W50=AP9,U49,0)+IF(AC50=AP9,AA49,0)+IF(E57=AP9,C56,0)+IF(K57=AP9,I56,0)+IF(Q57=AP9,O56,0)+IF(W57=AP9,U56,0)+IF(AC57=AP9,AA56,0)+IF(E64=AP9,C63,0)+IF(K64=AP9,I63,0)+IF(Q64=AP9,O63,0)+IF(W64=AP9,U63,0)+IF(AC64=AP9,AA63,0)</f>
        <v>0</v>
      </c>
      <c r="AV9" s="26"/>
      <c r="AW9" s="25">
        <f ca="1">IF(E73=AP9,C72,0)+IF(K73=AP9,I72,0)+IF(Q73=AP9,O72,0)++IF(W73=AP9,U72,0)+IF(AC73=AP9,AA72,0)+IF(E80=AP9,C79,0)+IF(K80=AP9,I79,0)+IF(Q80=AP9,O79,0)+IF(W80=AP9,U79,0)+IF(AC80=AP9,AA79,0)+IF(E87=AP9,C86,0)+IF(K87=AP9,I86,0)+IF(Q87=AP9,O86,0)+IF(W87=AP9,U86,0)+IF(AC87=AP9,AA86,0)</f>
        <v>0</v>
      </c>
      <c r="AX9" s="26"/>
    </row>
    <row r="10" s="1" customFormat="1" ht="36" customHeight="1" spans="1:50">
      <c r="A10" s="19"/>
      <c r="B10" s="20" t="s">
        <v>120</v>
      </c>
      <c r="C10" s="21">
        <f ca="1">IF(C11&gt;0,J22*C11-P22*(C11-((D23+J23)/2)),0)</f>
        <v>0</v>
      </c>
      <c r="D10" s="22" t="s">
        <v>121</v>
      </c>
      <c r="E10" s="22"/>
      <c r="F10" s="23"/>
      <c r="G10" s="19"/>
      <c r="H10" s="20" t="s">
        <v>120</v>
      </c>
      <c r="I10" s="21">
        <f ca="1">IF(I11&gt;0,J22*I11-P22*(I11-((D23+J23)/2)),0)</f>
        <v>0</v>
      </c>
      <c r="J10" s="22" t="s">
        <v>121</v>
      </c>
      <c r="K10" s="22"/>
      <c r="L10" s="23"/>
      <c r="M10" s="19"/>
      <c r="N10" s="20" t="s">
        <v>120</v>
      </c>
      <c r="O10" s="21">
        <f ca="1">IF(O11&gt;0,J22*O11-P22*(O11-((D23+J23)/2)),0)</f>
        <v>0</v>
      </c>
      <c r="P10" s="22" t="s">
        <v>121</v>
      </c>
      <c r="Q10" s="22"/>
      <c r="R10" s="23"/>
      <c r="S10" s="19"/>
      <c r="T10" s="20" t="s">
        <v>120</v>
      </c>
      <c r="U10" s="21">
        <f ca="1">IF(U11&gt;0,J22*U11-P22*(U11-((D23+J23)/2)),0)</f>
        <v>0</v>
      </c>
      <c r="V10" s="22" t="s">
        <v>121</v>
      </c>
      <c r="W10" s="22"/>
      <c r="X10" s="23"/>
      <c r="Y10" s="19"/>
      <c r="Z10" s="20" t="s">
        <v>120</v>
      </c>
      <c r="AA10" s="21">
        <f ca="1">IF(AA11&gt;0,J22*AA11-P22*(AA11-((D23+J23)/2)),0)</f>
        <v>0</v>
      </c>
      <c r="AB10" s="22" t="s">
        <v>121</v>
      </c>
      <c r="AC10" s="22"/>
      <c r="AD10" s="23"/>
      <c r="AE10" s="22"/>
      <c r="AF10" s="15"/>
      <c r="AG10" s="8" t="s">
        <v>58</v>
      </c>
      <c r="AH10" s="24">
        <f>'7年全球'!AN10</f>
        <v>0</v>
      </c>
      <c r="AJ10" s="18"/>
      <c r="AK10" s="8" t="s">
        <v>58</v>
      </c>
      <c r="AL10" s="25">
        <f ca="1" t="shared" si="2"/>
        <v>0</v>
      </c>
      <c r="AM10" s="25">
        <f t="shared" si="1"/>
        <v>0</v>
      </c>
      <c r="AN10" s="26"/>
      <c r="AP10" s="8">
        <v>8</v>
      </c>
      <c r="AQ10" s="25">
        <f ca="1">IF(E4=AP10,C3,0)+IF(K4=AP10,I3,0)+IF(Q4=AP10,O3,0)++IF(W4=AP10,U3,0)+IF(AC4=AP10,AA3,0)+IF(E11=AP10,C10,0)+IF(K11=AP10,I10,0)+IF(Q11=AP10,O10,0)+IF(W11=AP10,U10,0)+IF(AC11=AP10,AA10,0)+IF(E18=AP10,C17,0)+IF(K18=AP10,I17,0)+IF(Q18=AP10,O17,0)+IF(W18=AP10,U17,0)+IF(AC18=AP10,AA17,0)</f>
        <v>0</v>
      </c>
      <c r="AR10" s="26"/>
      <c r="AS10" s="25">
        <f ca="1">IF(E27=AP10,C26,0)+IF(K27=AP10,I26,0)+IF(Q27=AP10,O26,0)++IF(W27=AP10,U26,0)+IF(AC27=AP10,AA26,0)+IF(E34=AP10,C33,0)+IF(K34=AP10,I33,0)+IF(Q34=AP10,O33,0)+IF(W34=AP10,U33,0)+IF(AC34=AP10,AA33,0)+IF(E41=AP10,C40,0)+IF(K41=AP10,I40,0)+IF(Q41=AP10,O40,0)+IF(W41=AP10,U40,0)+IF(AC41=AP10,AA40,0)</f>
        <v>0</v>
      </c>
      <c r="AT10" s="26"/>
      <c r="AU10" s="25">
        <f ca="1">IF(E50=AP10,C49,0)+IF(K50=AP10,I49,0)+IF(Q50=AP10,O49,0)++IF(W50=AP10,U49,0)+IF(AC50=AP10,AA49,0)+IF(E57=AP10,C56,0)+IF(K57=AP10,I56,0)+IF(Q57=AP10,O56,0)+IF(W57=AP10,U56,0)+IF(AC57=AP10,AA56,0)+IF(E64=AP10,C63,0)+IF(K64=AP10,I63,0)+IF(Q64=AP10,O63,0)+IF(W64=AP10,U63,0)+IF(AC64=AP10,AA63,0)</f>
        <v>0</v>
      </c>
      <c r="AV10" s="26"/>
      <c r="AW10" s="25">
        <f ca="1">IF(E73=AP10,C72,0)+IF(K73=AP10,I72,0)+IF(Q73=AP10,O72,0)++IF(W73=AP10,U72,0)+IF(AC73=AP10,AA72,0)+IF(E80=AP10,C79,0)+IF(K80=AP10,I79,0)+IF(Q80=AP10,O79,0)+IF(W80=AP10,U79,0)+IF(AC80=AP10,AA79,0)+IF(E87=AP10,C86,0)+IF(K87=AP10,I86,0)+IF(Q87=AP10,O86,0)+IF(W87=AP10,U86,0)+IF(AC87=AP10,AA86,0)</f>
        <v>0</v>
      </c>
      <c r="AX10" s="26"/>
    </row>
    <row r="11" s="1" customFormat="1" ht="36" customHeight="1" spans="1:50">
      <c r="A11" s="19"/>
      <c r="B11" s="20" t="s">
        <v>123</v>
      </c>
      <c r="C11" s="27">
        <f ca="1">IF(D22&gt;=6,RANDBETWEEN(D23,J23),0)</f>
        <v>0</v>
      </c>
      <c r="D11" s="28"/>
      <c r="E11" s="29"/>
      <c r="F11" s="23" t="s">
        <v>128</v>
      </c>
      <c r="G11" s="19"/>
      <c r="H11" s="20" t="s">
        <v>123</v>
      </c>
      <c r="I11" s="27">
        <f ca="1">IF(D22&gt;=7,RANDBETWEEN(D23,J23),0)</f>
        <v>0</v>
      </c>
      <c r="J11" s="28"/>
      <c r="K11" s="29"/>
      <c r="L11" s="23"/>
      <c r="M11" s="19"/>
      <c r="N11" s="20" t="s">
        <v>123</v>
      </c>
      <c r="O11" s="27">
        <f ca="1">IF(D22&gt;=8,RANDBETWEEN(D23,J23),0)</f>
        <v>0</v>
      </c>
      <c r="P11" s="28"/>
      <c r="Q11" s="29"/>
      <c r="R11" s="23"/>
      <c r="S11" s="19"/>
      <c r="T11" s="20" t="s">
        <v>123</v>
      </c>
      <c r="U11" s="27">
        <f ca="1">IF(D22&gt;=9,RANDBETWEEN(D23,J23),0)</f>
        <v>0</v>
      </c>
      <c r="V11" s="28"/>
      <c r="W11" s="29"/>
      <c r="X11" s="23"/>
      <c r="Y11" s="19"/>
      <c r="Z11" s="20" t="s">
        <v>123</v>
      </c>
      <c r="AA11" s="27">
        <f ca="1">IF(D22&gt;=10,RANDBETWEEN(D23,J23),0)</f>
        <v>0</v>
      </c>
      <c r="AB11" s="28"/>
      <c r="AC11" s="29"/>
      <c r="AD11" s="23"/>
      <c r="AE11" s="22"/>
      <c r="AF11" s="15"/>
      <c r="AG11" s="8" t="s">
        <v>59</v>
      </c>
      <c r="AH11" s="24">
        <f>'7年全球'!AN11</f>
        <v>0</v>
      </c>
      <c r="AJ11" s="18"/>
      <c r="AK11" s="8" t="s">
        <v>59</v>
      </c>
      <c r="AL11" s="25">
        <f ca="1" t="shared" si="2"/>
        <v>0</v>
      </c>
      <c r="AM11" s="25">
        <f t="shared" si="1"/>
        <v>0</v>
      </c>
      <c r="AN11" s="26"/>
      <c r="AP11" s="8">
        <v>9</v>
      </c>
      <c r="AQ11" s="25">
        <f ca="1">IF(E4=AP11,C3,0)+IF(K4=AP11,I3,0)+IF(Q4=AP11,O3,0)++IF(W4=AP11,U3,0)+IF(AC4=AP11,AA3,0)+IF(E11=AP11,C10,0)+IF(K11=AP11,I10,0)+IF(Q11=AP11,O10,0)+IF(W11=AP11,U10,0)+IF(AC11=AP11,AA10,0)+IF(E18=AP11,C17,0)+IF(K18=AP11,I17,0)+IF(Q18=AP11,O17,0)+IF(W18=AP11,U17,0)+IF(AC18=AP11,AA17,0)</f>
        <v>0</v>
      </c>
      <c r="AR11" s="26"/>
      <c r="AS11" s="25">
        <f ca="1">IF(E27=AP11,C26,0)+IF(K27=AP11,I26,0)+IF(Q27=AP11,O26,0)++IF(W27=AP11,U26,0)+IF(AC27=AP11,AA26,0)+IF(E34=AP11,C33,0)+IF(K34=AP11,I33,0)+IF(Q34=AP11,O33,0)+IF(W34=AP11,U33,0)+IF(AC34=AP11,AA33,0)+IF(E41=AP11,C40,0)+IF(K41=AP11,I40,0)+IF(Q41=AP11,O40,0)+IF(W41=AP11,U40,0)+IF(AC41=AP11,AA40,0)</f>
        <v>0</v>
      </c>
      <c r="AT11" s="26"/>
      <c r="AU11" s="25">
        <f ca="1">IF(E50=AP11,C49,0)+IF(K50=AP11,I49,0)+IF(Q50=AP11,O49,0)++IF(W50=AP11,U49,0)+IF(AC50=AP11,AA49,0)+IF(E57=AP11,C56,0)+IF(K57=AP11,I56,0)+IF(Q57=AP11,O56,0)+IF(W57=AP11,U56,0)+IF(AC57=AP11,AA56,0)+IF(E64=AP11,C63,0)+IF(K64=AP11,I63,0)+IF(Q64=AP11,O63,0)+IF(W64=AP11,U63,0)+IF(AC64=AP11,AA63,0)</f>
        <v>0</v>
      </c>
      <c r="AV11" s="26"/>
      <c r="AW11" s="25">
        <f ca="1">IF(E73=AP11,C72,0)+IF(K73=AP11,I72,0)+IF(Q73=AP11,O72,0)++IF(W73=AP11,U72,0)+IF(AC73=AP11,AA72,0)+IF(E80=AP11,C79,0)+IF(K80=AP11,I79,0)+IF(Q80=AP11,O79,0)+IF(W80=AP11,U79,0)+IF(AC80=AP11,AA79,0)+IF(E87=AP11,C86,0)+IF(K87=AP11,I86,0)+IF(Q87=AP11,O86,0)+IF(W87=AP11,U86,0)+IF(AC87=AP11,AA86,0)</f>
        <v>0</v>
      </c>
      <c r="AX11" s="26"/>
    </row>
    <row r="12" s="1" customFormat="1" ht="36" customHeight="1" spans="1:50">
      <c r="A12" s="19"/>
      <c r="B12" s="20" t="s">
        <v>124</v>
      </c>
      <c r="C12" s="30" t="e">
        <f ca="1">C10/C11</f>
        <v>#DIV/0!</v>
      </c>
      <c r="D12" s="22" t="s">
        <v>121</v>
      </c>
      <c r="E12" s="22"/>
      <c r="F12" s="23"/>
      <c r="G12" s="19"/>
      <c r="H12" s="20" t="s">
        <v>124</v>
      </c>
      <c r="I12" s="30" t="e">
        <f ca="1">I10/I11</f>
        <v>#DIV/0!</v>
      </c>
      <c r="J12" s="22" t="s">
        <v>121</v>
      </c>
      <c r="K12" s="22"/>
      <c r="L12" s="23"/>
      <c r="M12" s="19"/>
      <c r="N12" s="20" t="s">
        <v>124</v>
      </c>
      <c r="O12" s="30" t="e">
        <f ca="1">O10/O11</f>
        <v>#DIV/0!</v>
      </c>
      <c r="P12" s="22" t="s">
        <v>121</v>
      </c>
      <c r="Q12" s="22"/>
      <c r="R12" s="23"/>
      <c r="S12" s="19"/>
      <c r="T12" s="20" t="s">
        <v>124</v>
      </c>
      <c r="U12" s="30" t="e">
        <f ca="1">U10/U11</f>
        <v>#DIV/0!</v>
      </c>
      <c r="V12" s="22" t="s">
        <v>121</v>
      </c>
      <c r="W12" s="22"/>
      <c r="X12" s="23"/>
      <c r="Y12" s="19"/>
      <c r="Z12" s="20" t="s">
        <v>124</v>
      </c>
      <c r="AA12" s="30" t="e">
        <f ca="1">AA10/AA11</f>
        <v>#DIV/0!</v>
      </c>
      <c r="AB12" s="22" t="s">
        <v>121</v>
      </c>
      <c r="AC12" s="22"/>
      <c r="AD12" s="23"/>
      <c r="AE12" s="22"/>
      <c r="AF12" s="15"/>
      <c r="AG12" s="8" t="s">
        <v>60</v>
      </c>
      <c r="AH12" s="24">
        <f>'7年全球'!AN12</f>
        <v>0</v>
      </c>
      <c r="AJ12" s="18"/>
      <c r="AK12" s="8" t="s">
        <v>60</v>
      </c>
      <c r="AL12" s="25">
        <f ca="1" t="shared" si="2"/>
        <v>0</v>
      </c>
      <c r="AM12" s="25">
        <f t="shared" si="1"/>
        <v>0</v>
      </c>
      <c r="AN12" s="26"/>
      <c r="AP12" s="8">
        <v>10</v>
      </c>
      <c r="AQ12" s="25">
        <f ca="1">IF(E4=AP12,C3,0)+IF(K4=AP12,I3,0)+IF(Q4=AP12,O3,0)++IF(W4=AP12,U3,0)+IF(AC4=AP12,AA3,0)+IF(E11=AP12,C10,0)+IF(K11=AP12,I10,0)+IF(Q11=AP12,O10,0)+IF(W11=AP12,U10,0)+IF(AC11=AP12,AA10,0)+IF(E18=AP12,C17,0)+IF(K18=AP12,I17,0)+IF(Q18=AP12,O17,0)+IF(W18=AP12,U17,0)+IF(AC18=AP12,AA17,0)</f>
        <v>0</v>
      </c>
      <c r="AR12" s="26"/>
      <c r="AS12" s="25">
        <f ca="1">IF(E27=AP12,C26,0)+IF(K27=AP12,I26,0)+IF(Q27=AP12,O26,0)++IF(W27=AP12,U26,0)+IF(AC27=AP12,AA26,0)+IF(E34=AP12,C33,0)+IF(K34=AP12,I33,0)+IF(Q34=AP12,O33,0)+IF(W34=AP12,U33,0)+IF(AC34=AP12,AA33,0)+IF(E41=AP12,C40,0)+IF(K41=AP12,I40,0)+IF(Q41=AP12,O40,0)+IF(W41=AP12,U40,0)+IF(AC41=AP12,AA40,0)</f>
        <v>0</v>
      </c>
      <c r="AT12" s="26"/>
      <c r="AU12" s="25">
        <f ca="1">IF(E50=AP12,C49,0)+IF(K50=AP12,I49,0)+IF(Q50=AP12,O49,0)++IF(W50=AP12,U49,0)+IF(AC50=AP12,AA49,0)+IF(E57=AP12,C56,0)+IF(K57=AP12,I56,0)+IF(Q57=AP12,O56,0)+IF(W57=AP12,U56,0)+IF(AC57=AP12,AA56,0)+IF(E64=AP12,C63,0)+IF(K64=AP12,I63,0)+IF(Q64=AP12,O63,0)+IF(W64=AP12,U63,0)+IF(AC64=AP12,AA63,0)</f>
        <v>0</v>
      </c>
      <c r="AV12" s="26"/>
      <c r="AW12" s="25">
        <f ca="1">IF(E73=AP12,C72,0)+IF(K73=AP12,I72,0)+IF(Q73=AP12,O72,0)++IF(W73=AP12,U72,0)+IF(AC73=AP12,AA72,0)+IF(E80=AP12,C79,0)+IF(K80=AP12,I79,0)+IF(Q80=AP12,O79,0)+IF(W80=AP12,U79,0)+IF(AC80=AP12,AA79,0)+IF(E87=AP12,C86,0)+IF(K87=AP12,I86,0)+IF(Q87=AP12,O86,0)+IF(W87=AP12,U86,0)+IF(AC87=AP12,AA86,0)</f>
        <v>0</v>
      </c>
      <c r="AX12" s="26"/>
    </row>
    <row r="13" s="1" customFormat="1" ht="36" customHeight="1" spans="1:50">
      <c r="A13" s="19"/>
      <c r="B13" s="20" t="s">
        <v>125</v>
      </c>
      <c r="C13" s="28">
        <f ca="1">IF(C11&gt;0,RANDBETWEEN(2,4),0)</f>
        <v>0</v>
      </c>
      <c r="D13" s="22" t="s">
        <v>126</v>
      </c>
      <c r="E13" s="22"/>
      <c r="F13" s="23"/>
      <c r="G13" s="19"/>
      <c r="H13" s="20" t="s">
        <v>125</v>
      </c>
      <c r="I13" s="28">
        <f ca="1">IF(I11&gt;0,RANDBETWEEN(2,4),0)</f>
        <v>0</v>
      </c>
      <c r="J13" s="22" t="s">
        <v>126</v>
      </c>
      <c r="K13" s="22"/>
      <c r="L13" s="23"/>
      <c r="M13" s="19"/>
      <c r="N13" s="20" t="s">
        <v>125</v>
      </c>
      <c r="O13" s="28">
        <f ca="1">IF(O11&gt;0,RANDBETWEEN(2,4),0)</f>
        <v>0</v>
      </c>
      <c r="P13" s="22" t="s">
        <v>126</v>
      </c>
      <c r="Q13" s="22"/>
      <c r="R13" s="23"/>
      <c r="S13" s="19"/>
      <c r="T13" s="20" t="s">
        <v>125</v>
      </c>
      <c r="U13" s="28">
        <f ca="1">IF(U11&gt;0,RANDBETWEEN(2,4),0)</f>
        <v>0</v>
      </c>
      <c r="V13" s="22" t="s">
        <v>126</v>
      </c>
      <c r="W13" s="22"/>
      <c r="X13" s="23"/>
      <c r="Y13" s="19"/>
      <c r="Z13" s="20" t="s">
        <v>125</v>
      </c>
      <c r="AA13" s="28">
        <f ca="1">IF(AA11&gt;0,RANDBETWEEN(2,4),0)</f>
        <v>0</v>
      </c>
      <c r="AB13" s="22" t="s">
        <v>126</v>
      </c>
      <c r="AC13" s="22"/>
      <c r="AD13" s="23"/>
      <c r="AE13" s="22"/>
      <c r="AF13" s="15"/>
      <c r="AG13" s="8" t="s">
        <v>61</v>
      </c>
      <c r="AH13" s="24">
        <f>'7年全球'!AN13</f>
        <v>0</v>
      </c>
      <c r="AJ13" s="18"/>
      <c r="AK13" s="8" t="s">
        <v>61</v>
      </c>
      <c r="AL13" s="25">
        <f ca="1" t="shared" si="2"/>
        <v>0</v>
      </c>
      <c r="AM13" s="25">
        <f t="shared" si="1"/>
        <v>0</v>
      </c>
      <c r="AN13" s="26"/>
      <c r="AP13" s="8">
        <v>11</v>
      </c>
      <c r="AQ13" s="25">
        <f ca="1">IF(E4=AP13,C3,0)+IF(K4=AP13,I3,0)+IF(Q4=AP13,O3,0)++IF(W4=AP13,U3,0)+IF(AC4=AP13,AA3,0)+IF(E11=AP13,C10,0)+IF(K11=AP13,I10,0)+IF(Q11=AP13,O10,0)+IF(W11=AP13,U10,0)+IF(AC11=AP13,AA10,0)+IF(E18=AP13,C17,0)+IF(K18=AP13,I17,0)+IF(Q18=AP13,O17,0)+IF(W18=AP13,U17,0)+IF(AC18=AP13,AA17,0)</f>
        <v>0</v>
      </c>
      <c r="AR13" s="26"/>
      <c r="AS13" s="25">
        <f ca="1">IF(E27=AP13,C26,0)+IF(K27=AP13,I26,0)+IF(Q27=AP13,O26,0)++IF(W27=AP13,U26,0)+IF(AC27=AP13,AA26,0)+IF(E34=AP13,C33,0)+IF(K34=AP13,I33,0)+IF(Q34=AP13,O33,0)+IF(W34=AP13,U33,0)+IF(AC34=AP13,AA33,0)+IF(E41=AP13,C40,0)+IF(K41=AP13,I40,0)+IF(Q41=AP13,O40,0)+IF(W41=AP13,U40,0)+IF(AC41=AP13,AA40,0)</f>
        <v>0</v>
      </c>
      <c r="AT13" s="26"/>
      <c r="AU13" s="25">
        <f ca="1">IF(E50=AP13,C49,0)+IF(K50=AP13,I49,0)+IF(Q50=AP13,O49,0)++IF(W50=AP13,U49,0)+IF(AC50=AP13,AA49,0)+IF(E57=AP13,C56,0)+IF(K57=AP13,I56,0)+IF(Q57=AP13,O56,0)+IF(W57=AP13,U56,0)+IF(AC57=AP13,AA56,0)+IF(E64=AP13,C63,0)+IF(K64=AP13,I63,0)+IF(Q64=AP13,O63,0)+IF(W64=AP13,U63,0)+IF(AC64=AP13,AA63,0)</f>
        <v>0</v>
      </c>
      <c r="AV13" s="26"/>
      <c r="AW13" s="25">
        <f ca="1">IF(E73=AP13,C72,0)+IF(K73=AP13,I72,0)+IF(Q73=AP13,O72,0)++IF(W73=AP13,U72,0)+IF(AC73=AP13,AA72,0)+IF(E80=AP13,C79,0)+IF(K80=AP13,I79,0)+IF(Q80=AP13,O79,0)+IF(W80=AP13,U79,0)+IF(AC80=AP13,AA79,0)+IF(E87=AP13,C86,0)+IF(K87=AP13,I86,0)+IF(Q87=AP13,O86,0)+IF(W87=AP13,U86,0)+IF(AC87=AP13,AA86,0)</f>
        <v>0</v>
      </c>
      <c r="AX13" s="26"/>
    </row>
    <row r="14" s="1" customFormat="1" ht="36" customHeight="1" spans="1:50">
      <c r="A14" s="19"/>
      <c r="B14" s="31" t="s">
        <v>168</v>
      </c>
      <c r="C14" s="31"/>
      <c r="D14" s="31"/>
      <c r="E14" s="31"/>
      <c r="F14" s="32"/>
      <c r="G14" s="19"/>
      <c r="H14" s="31" t="s">
        <v>168</v>
      </c>
      <c r="I14" s="31"/>
      <c r="J14" s="31"/>
      <c r="K14" s="31"/>
      <c r="L14" s="32"/>
      <c r="M14" s="19"/>
      <c r="N14" s="31" t="s">
        <v>168</v>
      </c>
      <c r="O14" s="31"/>
      <c r="P14" s="31"/>
      <c r="Q14" s="31"/>
      <c r="R14" s="32"/>
      <c r="S14" s="19"/>
      <c r="T14" s="31" t="s">
        <v>168</v>
      </c>
      <c r="U14" s="31"/>
      <c r="V14" s="31"/>
      <c r="W14" s="31"/>
      <c r="X14" s="32"/>
      <c r="Y14" s="19"/>
      <c r="Z14" s="31" t="s">
        <v>168</v>
      </c>
      <c r="AA14" s="31"/>
      <c r="AB14" s="31"/>
      <c r="AC14" s="31"/>
      <c r="AD14" s="32"/>
      <c r="AE14" s="33"/>
      <c r="AF14" s="15"/>
      <c r="AG14" s="8" t="s">
        <v>62</v>
      </c>
      <c r="AH14" s="24">
        <f>'7年全球'!AN14</f>
        <v>0</v>
      </c>
      <c r="AJ14" s="18"/>
      <c r="AK14" s="8" t="s">
        <v>62</v>
      </c>
      <c r="AL14" s="25">
        <f ca="1" t="shared" si="2"/>
        <v>0</v>
      </c>
      <c r="AM14" s="25">
        <f t="shared" si="1"/>
        <v>0</v>
      </c>
      <c r="AN14" s="26"/>
      <c r="AP14" s="8">
        <v>12</v>
      </c>
      <c r="AQ14" s="25">
        <f ca="1">IF(E4=AP14,C3,0)+IF(K4=AP14,I3,0)+IF(Q4=AP14,O3,0)++IF(W4=AP14,U3,0)+IF(AC4=AP14,AA3,0)+IF(E11=AP14,C10,0)+IF(K11=AP14,I10,0)+IF(Q11=AP14,O10,0)+IF(W11=AP14,U10,0)+IF(AC11=AP14,AA10,0)+IF(E18=AP14,C17,0)+IF(K18=AP14,I17,0)+IF(Q18=AP14,O17,0)+IF(W18=AP14,U17,0)+IF(AC18=AP14,AA17,0)</f>
        <v>0</v>
      </c>
      <c r="AR14" s="26"/>
      <c r="AS14" s="25">
        <f ca="1">IF(E27=AP14,C26,0)+IF(K27=AP14,I26,0)+IF(Q27=AP14,O26,0)++IF(W27=AP14,U26,0)+IF(AC27=AP14,AA26,0)+IF(E34=AP14,C33,0)+IF(K34=AP14,I33,0)+IF(Q34=AP14,O33,0)+IF(W34=AP14,U33,0)+IF(AC34=AP14,AA33,0)+IF(E41=AP14,C40,0)+IF(K41=AP14,I40,0)+IF(Q41=AP14,O40,0)+IF(W41=AP14,U40,0)+IF(AC41=AP14,AA40,0)</f>
        <v>0</v>
      </c>
      <c r="AT14" s="26"/>
      <c r="AU14" s="25">
        <f ca="1">IF(E50=AP14,C49,0)+IF(K50=AP14,I49,0)+IF(Q50=AP14,O49,0)++IF(W50=AP14,U49,0)+IF(AC50=AP14,AA49,0)+IF(E57=AP14,C56,0)+IF(K57=AP14,I56,0)+IF(Q57=AP14,O56,0)+IF(W57=AP14,U56,0)+IF(AC57=AP14,AA56,0)+IF(E64=AP14,C63,0)+IF(K64=AP14,I63,0)+IF(Q64=AP14,O63,0)+IF(W64=AP14,U63,0)+IF(AC64=AP14,AA63,0)</f>
        <v>0</v>
      </c>
      <c r="AV14" s="26"/>
      <c r="AW14" s="25">
        <f ca="1">IF(E73=AP14,C72,0)+IF(K73=AP14,I72,0)+IF(Q73=AP14,O72,0)++IF(W73=AP14,U72,0)+IF(AC73=AP14,AA72,0)+IF(E80=AP14,C79,0)+IF(K80=AP14,I79,0)+IF(Q80=AP14,O79,0)+IF(W80=AP14,U79,0)+IF(AC80=AP14,AA79,0)+IF(E87=AP14,C86,0)+IF(K87=AP14,I86,0)+IF(Q87=AP14,O86,0)+IF(W87=AP14,U86,0)+IF(AC87=AP14,AA86,0)</f>
        <v>0</v>
      </c>
      <c r="AX14" s="26"/>
    </row>
    <row r="15" s="1" customFormat="1" ht="36" customHeight="1" spans="1:50">
      <c r="A15" s="3"/>
      <c r="B15" s="4"/>
      <c r="C15" s="4"/>
      <c r="D15" s="4"/>
      <c r="E15" s="4"/>
      <c r="F15" s="5"/>
      <c r="G15" s="3"/>
      <c r="H15" s="4"/>
      <c r="I15" s="4"/>
      <c r="J15" s="4"/>
      <c r="K15" s="4"/>
      <c r="L15" s="5"/>
      <c r="M15" s="3"/>
      <c r="N15" s="4"/>
      <c r="O15" s="4"/>
      <c r="P15" s="4"/>
      <c r="Q15" s="4"/>
      <c r="R15" s="5"/>
      <c r="S15" s="3"/>
      <c r="T15" s="4"/>
      <c r="U15" s="4"/>
      <c r="V15" s="4"/>
      <c r="W15" s="4"/>
      <c r="X15" s="5"/>
      <c r="Y15" s="3"/>
      <c r="Z15" s="4"/>
      <c r="AA15" s="4"/>
      <c r="AB15" s="4"/>
      <c r="AC15" s="4"/>
      <c r="AD15" s="5"/>
      <c r="AE15" s="33"/>
      <c r="AF15" s="15"/>
      <c r="AG15" s="8" t="s">
        <v>63</v>
      </c>
      <c r="AH15" s="24">
        <f>'7年全球'!AN15</f>
        <v>0</v>
      </c>
      <c r="AJ15" s="18"/>
      <c r="AK15" s="8" t="s">
        <v>63</v>
      </c>
      <c r="AL15" s="25">
        <f ca="1" t="shared" ref="AL15:AL17" si="3">AQ15+AS15+AU15+AW15</f>
        <v>0</v>
      </c>
      <c r="AM15" s="25">
        <f t="shared" si="1"/>
        <v>0</v>
      </c>
      <c r="AN15" s="26"/>
      <c r="AP15" s="8">
        <v>13</v>
      </c>
      <c r="AQ15" s="25">
        <f ca="1">IF(E4=AP15,C3,0)+IF(K4=AP15,I3,0)+IF(Q4=AP15,O3,0)++IF(W4=AP15,U3,0)+IF(AC4=AP15,AA3,0)+IF(E11=AP15,C10,0)+IF(K11=AP15,I10,0)+IF(Q11=AP15,O10,0)+IF(W11=AP15,U10,0)+IF(AC11=AP15,AA10,0)+IF(E18=AP15,C17,0)+IF(K18=AP15,I17,0)+IF(Q18=AP15,O17,0)+IF(W18=AP15,U17,0)+IF(AC18=AP15,AA17,0)</f>
        <v>0</v>
      </c>
      <c r="AR15" s="26"/>
      <c r="AS15" s="25">
        <f ca="1">IF(E27=AP15,C26,0)+IF(K27=AP15,I26,0)+IF(Q27=AP15,O26,0)++IF(W27=AP15,U26,0)+IF(AC27=AP15,AA26,0)+IF(E34=AP15,C33,0)+IF(K34=AP15,I33,0)+IF(Q34=AP15,O33,0)+IF(W34=AP15,U33,0)+IF(AC34=AP15,AA33,0)+IF(E41=AP15,C40,0)+IF(K41=AP15,I40,0)+IF(Q41=AP15,O40,0)+IF(W41=AP15,U40,0)+IF(AC41=AP15,AA40,0)</f>
        <v>0</v>
      </c>
      <c r="AT15" s="26"/>
      <c r="AU15" s="25">
        <f ca="1">IF(E50=AP15,C49,0)+IF(K50=AP15,I49,0)+IF(Q50=AP15,O49,0)++IF(W50=AP15,U49,0)+IF(AC50=AP15,AA49,0)+IF(E57=AP15,C56,0)+IF(K57=AP15,I56,0)+IF(Q57=AP15,O56,0)+IF(W57=AP15,U56,0)+IF(AC57=AP15,AA56,0)+IF(E64=AP15,C63,0)+IF(K64=AP15,I63,0)+IF(Q64=AP15,O63,0)+IF(W64=AP15,U63,0)+IF(AC64=AP15,AA63,0)</f>
        <v>0</v>
      </c>
      <c r="AV15" s="26"/>
      <c r="AW15" s="25">
        <f ca="1">IF(E73=AP15,C72,0)+IF(K73=AP15,I72,0)+IF(Q73=AP15,O72,0)++IF(W73=AP15,U72,0)+IF(AC73=AP15,AA72,0)+IF(E80=AP15,C79,0)+IF(K80=AP15,I79,0)+IF(Q80=AP15,O79,0)+IF(W80=AP15,U79,0)+IF(AC80=AP15,AA79,0)+IF(E87=AP15,C86,0)+IF(K87=AP15,I86,0)+IF(Q87=AP15,O86,0)+IF(W87=AP15,U86,0)+IF(AC87=AP15,AA86,0)</f>
        <v>0</v>
      </c>
      <c r="AX15" s="26"/>
    </row>
    <row r="16" s="1" customFormat="1" ht="36" customHeight="1" spans="1:50">
      <c r="A16" s="11"/>
      <c r="B16" s="12" t="s">
        <v>84</v>
      </c>
      <c r="C16" s="12"/>
      <c r="D16" s="12"/>
      <c r="E16" s="12"/>
      <c r="F16" s="13"/>
      <c r="G16" s="11"/>
      <c r="H16" s="12" t="s">
        <v>84</v>
      </c>
      <c r="I16" s="12"/>
      <c r="J16" s="12"/>
      <c r="K16" s="12"/>
      <c r="L16" s="13"/>
      <c r="M16" s="11"/>
      <c r="N16" s="12" t="s">
        <v>84</v>
      </c>
      <c r="O16" s="12"/>
      <c r="P16" s="12"/>
      <c r="Q16" s="12"/>
      <c r="R16" s="13"/>
      <c r="S16" s="11"/>
      <c r="T16" s="12" t="s">
        <v>84</v>
      </c>
      <c r="U16" s="12"/>
      <c r="V16" s="12"/>
      <c r="W16" s="12"/>
      <c r="X16" s="13"/>
      <c r="Y16" s="11"/>
      <c r="Z16" s="12" t="s">
        <v>84</v>
      </c>
      <c r="AA16" s="12"/>
      <c r="AB16" s="12"/>
      <c r="AC16" s="12"/>
      <c r="AD16" s="13"/>
      <c r="AE16" s="14"/>
      <c r="AF16" s="15"/>
      <c r="AG16" s="8" t="s">
        <v>64</v>
      </c>
      <c r="AH16" s="24">
        <f>'7年全球'!AN16</f>
        <v>0</v>
      </c>
      <c r="AJ16" s="18"/>
      <c r="AK16" s="8" t="s">
        <v>64</v>
      </c>
      <c r="AL16" s="25">
        <f ca="1" t="shared" si="3"/>
        <v>0</v>
      </c>
      <c r="AM16" s="25">
        <f t="shared" si="1"/>
        <v>0</v>
      </c>
      <c r="AN16" s="26"/>
      <c r="AP16" s="8">
        <v>14</v>
      </c>
      <c r="AQ16" s="25">
        <f ca="1">IF(E4=AP16,C3,0)+IF(K4=AP16,I3,0)+IF(Q4=AP16,O3,0)++IF(W4=AP16,U3,0)+IF(AC4=AP16,AA3,0)+IF(E11=AP16,C10,0)+IF(K11=AP16,I10,0)+IF(Q11=AP16,O10,0)+IF(W11=AP16,U10,0)+IF(AC11=AP16,AA10,0)+IF(E18=AP16,C17,0)+IF(K18=AP16,I17,0)+IF(Q18=AP16,O17,0)+IF(W18=AP16,U17,0)+IF(AC18=AP16,AA17,0)</f>
        <v>0</v>
      </c>
      <c r="AR16" s="26"/>
      <c r="AS16" s="25">
        <f ca="1">IF(E27=AP16,C26,0)+IF(K27=AP16,I26,0)+IF(Q27=AP16,O26,0)++IF(W27=AP16,U26,0)+IF(AC27=AP16,AA26,0)+IF(E34=AP16,C33,0)+IF(K34=AP16,I33,0)+IF(Q34=AP16,O33,0)+IF(W34=AP16,U33,0)+IF(AC34=AP16,AA33,0)+IF(E41=AP16,C40,0)+IF(K41=AP16,I40,0)+IF(Q41=AP16,O40,0)+IF(W41=AP16,U40,0)+IF(AC41=AP16,AA40,0)</f>
        <v>0</v>
      </c>
      <c r="AT16" s="26"/>
      <c r="AU16" s="25">
        <f ca="1">IF(E50=AP16,C49,0)+IF(K50=AP16,I49,0)+IF(Q50=AP16,O49,0)++IF(W50=AP16,U49,0)+IF(AC50=AP16,AA49,0)+IF(E57=AP16,C56,0)+IF(K57=AP16,I56,0)+IF(Q57=AP16,O56,0)+IF(W57=AP16,U56,0)+IF(AC57=AP16,AA56,0)+IF(E64=AP16,C63,0)+IF(K64=AP16,I63,0)+IF(Q64=AP16,O63,0)+IF(W64=AP16,U63,0)+IF(AC64=AP16,AA63,0)</f>
        <v>0</v>
      </c>
      <c r="AV16" s="26"/>
      <c r="AW16" s="25">
        <f ca="1">IF(E73=AP16,C72,0)+IF(K73=AP16,I72,0)+IF(Q73=AP16,O72,0)++IF(W73=AP16,U72,0)+IF(AC73=AP16,AA72,0)+IF(E80=AP16,C79,0)+IF(K80=AP16,I79,0)+IF(Q80=AP16,O79,0)+IF(W80=AP16,U79,0)+IF(AC80=AP16,AA79,0)+IF(E87=AP16,C86,0)+IF(K87=AP16,I86,0)+IF(Q87=AP16,O86,0)+IF(W87=AP16,U86,0)+IF(AC87=AP16,AA86,0)</f>
        <v>0</v>
      </c>
      <c r="AX16" s="26"/>
    </row>
    <row r="17" s="1" customFormat="1" ht="36" customHeight="1" spans="1:50">
      <c r="A17" s="19"/>
      <c r="B17" s="20" t="s">
        <v>120</v>
      </c>
      <c r="C17" s="21">
        <f ca="1">IF(C18&gt;0,J22*C18-P22*(C18-((D23+J23)/2)),0)</f>
        <v>0</v>
      </c>
      <c r="D17" s="22" t="s">
        <v>121</v>
      </c>
      <c r="E17" s="22"/>
      <c r="F17" s="23"/>
      <c r="G17" s="19"/>
      <c r="H17" s="20" t="s">
        <v>120</v>
      </c>
      <c r="I17" s="21">
        <f ca="1">IF(I18&gt;0,J22*I18-P22*(I18-((D23+J23)/2)),0)</f>
        <v>0</v>
      </c>
      <c r="J17" s="22" t="s">
        <v>121</v>
      </c>
      <c r="K17" s="22"/>
      <c r="L17" s="23"/>
      <c r="M17" s="19"/>
      <c r="N17" s="20" t="s">
        <v>120</v>
      </c>
      <c r="O17" s="21">
        <f ca="1">IF(O18&gt;0,J22*O18-P22*(O18-((D23+J23)/2)),0)</f>
        <v>0</v>
      </c>
      <c r="P17" s="22" t="s">
        <v>121</v>
      </c>
      <c r="Q17" s="22"/>
      <c r="R17" s="23"/>
      <c r="S17" s="19"/>
      <c r="T17" s="20" t="s">
        <v>120</v>
      </c>
      <c r="U17" s="21">
        <f ca="1">IF(U18&gt;0,J22*U18-P22*(U18-((D23+J23)/2)),0)</f>
        <v>0</v>
      </c>
      <c r="V17" s="22" t="s">
        <v>121</v>
      </c>
      <c r="W17" s="22"/>
      <c r="X17" s="23"/>
      <c r="Y17" s="19"/>
      <c r="Z17" s="20" t="s">
        <v>120</v>
      </c>
      <c r="AA17" s="21">
        <f ca="1">IF(AA18&gt;0,J22*AA18-P22*(AA18-((D23+J23)/2)),0)</f>
        <v>0</v>
      </c>
      <c r="AB17" s="22" t="s">
        <v>121</v>
      </c>
      <c r="AC17" s="22"/>
      <c r="AD17" s="23"/>
      <c r="AE17" s="22"/>
      <c r="AF17" s="34"/>
      <c r="AG17" s="8" t="s">
        <v>65</v>
      </c>
      <c r="AH17" s="24">
        <f>'7年全球'!AN17</f>
        <v>0</v>
      </c>
      <c r="AJ17" s="35"/>
      <c r="AK17" s="8" t="s">
        <v>65</v>
      </c>
      <c r="AL17" s="25">
        <f ca="1" t="shared" si="3"/>
        <v>0</v>
      </c>
      <c r="AM17" s="25">
        <f t="shared" si="1"/>
        <v>0</v>
      </c>
      <c r="AN17" s="26"/>
      <c r="AP17" s="8">
        <v>15</v>
      </c>
      <c r="AQ17" s="25">
        <f ca="1">IF(E4=AP17,C3,0)+IF(K4=AP17,I3,0)+IF(Q4=AP17,O3,0)++IF(W4=AP17,U3,0)+IF(AC4=AP17,AA3,0)+IF(E11=AP17,C10,0)+IF(K11=AP17,I10,0)+IF(Q11=AP17,O10,0)+IF(W11=AP17,U10,0)+IF(AC11=AP17,AA10,0)+IF(E18=AP17,C17,0)+IF(K18=AP17,I17,0)+IF(Q18=AP17,O17,0)+IF(W18=AP17,U17,0)+IF(AC18=AP17,AA17,0)</f>
        <v>0</v>
      </c>
      <c r="AR17" s="26"/>
      <c r="AS17" s="25">
        <f ca="1">IF(E27=AP17,C26,0)+IF(K27=AP17,I26,0)+IF(Q27=AP17,O26,0)++IF(W27=AP17,U26,0)+IF(AC27=AP17,AA26,0)+IF(E34=AP17,C33,0)+IF(K34=AP17,I33,0)+IF(Q34=AP17,O33,0)+IF(W34=AP17,U33,0)+IF(AC34=AP17,AA33,0)+IF(E41=AP17,C40,0)+IF(K41=AP17,I40,0)+IF(Q41=AP17,O40,0)+IF(W41=AP17,U40,0)+IF(AC41=AP17,AA40,0)</f>
        <v>0</v>
      </c>
      <c r="AT17" s="26"/>
      <c r="AU17" s="25">
        <f ca="1">IF(E50=AP17,C49,0)+IF(K50=AP17,I49,0)+IF(Q50=AP17,O49,0)++IF(W50=AP17,U49,0)+IF(AC50=AP17,AA49,0)+IF(E57=AP17,C56,0)+IF(K57=AP17,I56,0)+IF(Q57=AP17,O56,0)+IF(W57=AP17,U56,0)+IF(AC57=AP17,AA56,0)+IF(E64=AP17,C63,0)+IF(K64=AP17,I63,0)+IF(Q64=AP17,O63,0)+IF(W64=AP17,U63,0)+IF(AC64=AP17,AA63,0)</f>
        <v>0</v>
      </c>
      <c r="AV17" s="26"/>
      <c r="AW17" s="25">
        <f ca="1">IF(E73=AP17,C72,0)+IF(K73=AP17,I72,0)+IF(Q73=AP17,O72,0)++IF(W73=AP17,U72,0)+IF(AC73=AP17,AA72,0)+IF(E80=AP17,C79,0)+IF(K80=AP17,I79,0)+IF(Q80=AP17,O79,0)+IF(W80=AP17,U79,0)+IF(AC80=AP17,AA79,0)+IF(E87=AP17,C86,0)+IF(K87=AP17,I86,0)+IF(Q87=AP17,O86,0)+IF(W87=AP17,U86,0)+IF(AC87=AP17,AA86,0)</f>
        <v>0</v>
      </c>
      <c r="AX17" s="26"/>
    </row>
    <row r="18" s="1" customFormat="1" ht="36" customHeight="1" spans="1:50">
      <c r="A18" s="19"/>
      <c r="B18" s="20" t="s">
        <v>123</v>
      </c>
      <c r="C18" s="27">
        <f ca="1">IF(D22&gt;=11,RANDBETWEEN(D23,J23),0)</f>
        <v>0</v>
      </c>
      <c r="D18" s="28"/>
      <c r="E18" s="29"/>
      <c r="F18" s="23"/>
      <c r="G18" s="19"/>
      <c r="H18" s="20" t="s">
        <v>123</v>
      </c>
      <c r="I18" s="27">
        <f ca="1">IF(D22&gt;=12,RANDBETWEEN(D23,J23),0)</f>
        <v>0</v>
      </c>
      <c r="J18" s="28"/>
      <c r="K18" s="29"/>
      <c r="L18" s="23"/>
      <c r="M18" s="19"/>
      <c r="N18" s="20" t="s">
        <v>123</v>
      </c>
      <c r="O18" s="27">
        <f ca="1">IF(D22&gt;=13,RANDBETWEEN(D23,J23),0)</f>
        <v>0</v>
      </c>
      <c r="P18" s="28"/>
      <c r="Q18" s="29"/>
      <c r="R18" s="23"/>
      <c r="S18" s="19"/>
      <c r="T18" s="20" t="s">
        <v>123</v>
      </c>
      <c r="U18" s="27">
        <f ca="1">IF(D22&gt;=14,RANDBETWEEN(D23,J23),0)</f>
        <v>0</v>
      </c>
      <c r="V18" s="28"/>
      <c r="W18" s="29"/>
      <c r="X18" s="23"/>
      <c r="Y18" s="19"/>
      <c r="Z18" s="20" t="s">
        <v>123</v>
      </c>
      <c r="AA18" s="27">
        <f ca="1">IF(D22&gt;=15,RANDBETWEEN(D23,J23),0)</f>
        <v>0</v>
      </c>
      <c r="AB18" s="28"/>
      <c r="AC18" s="29"/>
      <c r="AD18" s="23"/>
      <c r="AE18" s="22"/>
    </row>
    <row r="19" s="1" customFormat="1" ht="36" customHeight="1" spans="1:50">
      <c r="A19" s="19"/>
      <c r="B19" s="20" t="s">
        <v>124</v>
      </c>
      <c r="C19" s="30" t="e">
        <f ca="1">C17/C18</f>
        <v>#DIV/0!</v>
      </c>
      <c r="D19" s="22" t="s">
        <v>121</v>
      </c>
      <c r="E19" s="22"/>
      <c r="F19" s="23" t="s">
        <v>129</v>
      </c>
      <c r="G19" s="19"/>
      <c r="H19" s="20" t="s">
        <v>124</v>
      </c>
      <c r="I19" s="30" t="e">
        <f ca="1">I17/I18</f>
        <v>#DIV/0!</v>
      </c>
      <c r="J19" s="22" t="s">
        <v>121</v>
      </c>
      <c r="K19" s="22"/>
      <c r="L19" s="23"/>
      <c r="M19" s="19"/>
      <c r="N19" s="20" t="s">
        <v>124</v>
      </c>
      <c r="O19" s="30" t="e">
        <f ca="1">O17/O18</f>
        <v>#DIV/0!</v>
      </c>
      <c r="P19" s="22" t="s">
        <v>121</v>
      </c>
      <c r="Q19" s="22"/>
      <c r="R19" s="23"/>
      <c r="S19" s="19"/>
      <c r="T19" s="20" t="s">
        <v>124</v>
      </c>
      <c r="U19" s="30" t="e">
        <f ca="1">U17/U18</f>
        <v>#DIV/0!</v>
      </c>
      <c r="V19" s="22" t="s">
        <v>121</v>
      </c>
      <c r="W19" s="22"/>
      <c r="X19" s="23"/>
      <c r="Y19" s="19"/>
      <c r="Z19" s="20" t="s">
        <v>124</v>
      </c>
      <c r="AA19" s="30" t="e">
        <f ca="1">AA17/AA18</f>
        <v>#DIV/0!</v>
      </c>
      <c r="AB19" s="22" t="s">
        <v>121</v>
      </c>
      <c r="AC19" s="22"/>
      <c r="AD19" s="23"/>
      <c r="AE19" s="22"/>
    </row>
    <row r="20" s="1" customFormat="1" ht="36" customHeight="1" spans="1:50">
      <c r="A20" s="19"/>
      <c r="B20" s="20" t="s">
        <v>125</v>
      </c>
      <c r="C20" s="28">
        <f ca="1">IF(C18&gt;0,RANDBETWEEN(2,4),0)</f>
        <v>0</v>
      </c>
      <c r="D20" s="22" t="s">
        <v>126</v>
      </c>
      <c r="E20" s="22"/>
      <c r="F20" s="23"/>
      <c r="G20" s="19"/>
      <c r="H20" s="20" t="s">
        <v>125</v>
      </c>
      <c r="I20" s="28">
        <f ca="1">IF(I18&gt;0,RANDBETWEEN(2,4),0)</f>
        <v>0</v>
      </c>
      <c r="J20" s="22" t="s">
        <v>126</v>
      </c>
      <c r="K20" s="22"/>
      <c r="L20" s="23"/>
      <c r="M20" s="19"/>
      <c r="N20" s="20" t="s">
        <v>125</v>
      </c>
      <c r="O20" s="28">
        <f ca="1">IF(O18&gt;0,RANDBETWEEN(2,4),0)</f>
        <v>0</v>
      </c>
      <c r="P20" s="22" t="s">
        <v>126</v>
      </c>
      <c r="Q20" s="22"/>
      <c r="R20" s="23"/>
      <c r="S20" s="19"/>
      <c r="T20" s="20" t="s">
        <v>125</v>
      </c>
      <c r="U20" s="28">
        <f ca="1">IF(U18&gt;0,RANDBETWEEN(2,4),0)</f>
        <v>0</v>
      </c>
      <c r="V20" s="22" t="s">
        <v>126</v>
      </c>
      <c r="W20" s="22"/>
      <c r="X20" s="23"/>
      <c r="Y20" s="19"/>
      <c r="Z20" s="20" t="s">
        <v>125</v>
      </c>
      <c r="AA20" s="28">
        <f ca="1">IF(AA18&gt;0,RANDBETWEEN(2,4),0)</f>
        <v>0</v>
      </c>
      <c r="AB20" s="22" t="s">
        <v>126</v>
      </c>
      <c r="AC20" s="22"/>
      <c r="AD20" s="23"/>
      <c r="AE20" s="22"/>
    </row>
    <row r="21" s="1" customFormat="1" ht="36" customHeight="1" spans="1:50">
      <c r="A21" s="36"/>
      <c r="B21" s="37" t="s">
        <v>168</v>
      </c>
      <c r="C21" s="37"/>
      <c r="D21" s="37"/>
      <c r="E21" s="37"/>
      <c r="F21" s="38"/>
      <c r="G21" s="36"/>
      <c r="H21" s="37" t="s">
        <v>168</v>
      </c>
      <c r="I21" s="37"/>
      <c r="J21" s="37"/>
      <c r="K21" s="37"/>
      <c r="L21" s="38"/>
      <c r="M21" s="36"/>
      <c r="N21" s="37" t="s">
        <v>168</v>
      </c>
      <c r="O21" s="37"/>
      <c r="P21" s="37"/>
      <c r="Q21" s="37"/>
      <c r="R21" s="38"/>
      <c r="S21" s="36"/>
      <c r="T21" s="37" t="s">
        <v>168</v>
      </c>
      <c r="U21" s="37"/>
      <c r="V21" s="37"/>
      <c r="W21" s="37"/>
      <c r="X21" s="38"/>
      <c r="Y21" s="36"/>
      <c r="Z21" s="37" t="s">
        <v>168</v>
      </c>
      <c r="AA21" s="37"/>
      <c r="AB21" s="37"/>
      <c r="AC21" s="37"/>
      <c r="AD21" s="38"/>
      <c r="AE21" s="33"/>
    </row>
    <row r="22" s="1" customFormat="1" ht="36" customHeight="1" spans="1:50">
      <c r="A22" s="39"/>
      <c r="B22" s="40" t="s">
        <v>130</v>
      </c>
      <c r="C22" s="40"/>
      <c r="D22" s="41">
        <f>市场预测!L54</f>
        <v>1</v>
      </c>
      <c r="E22" s="41"/>
      <c r="F22" s="41"/>
      <c r="G22" s="42"/>
      <c r="H22" s="12" t="s">
        <v>131</v>
      </c>
      <c r="I22" s="12"/>
      <c r="J22" s="43">
        <v>7</v>
      </c>
      <c r="K22" s="43"/>
      <c r="L22" s="43"/>
      <c r="M22" s="42"/>
      <c r="N22" s="44" t="s">
        <v>132</v>
      </c>
      <c r="O22" s="44"/>
      <c r="P22" s="43">
        <v>1</v>
      </c>
      <c r="Q22" s="43"/>
      <c r="R22" s="43"/>
      <c r="S22" s="12" t="s">
        <v>133</v>
      </c>
      <c r="T22" s="12"/>
      <c r="U22" s="12"/>
      <c r="V22" s="45">
        <f ca="1">C4+I4+O4+AA4+C11+U4+O11+U11+I11+AA11+AA18+U18+O18+I18+C18</f>
        <v>2</v>
      </c>
      <c r="W22" s="45"/>
      <c r="X22" s="45"/>
      <c r="Y22" s="42"/>
      <c r="Z22" s="46"/>
      <c r="AA22" s="46"/>
      <c r="AB22" s="46"/>
      <c r="AC22" s="46"/>
      <c r="AD22" s="46"/>
    </row>
    <row r="23" s="1" customFormat="1" ht="36" customHeight="1" spans="1:50">
      <c r="A23" s="39"/>
      <c r="B23" s="40" t="s">
        <v>134</v>
      </c>
      <c r="C23" s="40"/>
      <c r="D23" s="43">
        <v>2</v>
      </c>
      <c r="E23" s="43"/>
      <c r="F23" s="43"/>
      <c r="G23" s="42"/>
      <c r="H23" s="40" t="s">
        <v>135</v>
      </c>
      <c r="I23" s="40"/>
      <c r="J23" s="43">
        <v>4</v>
      </c>
      <c r="K23" s="43"/>
      <c r="L23" s="43"/>
      <c r="M23" s="42"/>
      <c r="N23" s="47" t="s">
        <v>136</v>
      </c>
      <c r="O23" s="47"/>
      <c r="P23" s="41">
        <f ca="1">V22/市场预测!O14</f>
        <v>0.25</v>
      </c>
      <c r="Q23" s="41"/>
      <c r="R23" s="41"/>
      <c r="S23" s="12" t="s">
        <v>137</v>
      </c>
      <c r="T23" s="12"/>
      <c r="U23" s="12"/>
      <c r="V23" s="48">
        <f ca="1">C3+I3+O3+U3+AA3+C10+I10+O10+U10+AA10+C17+I17+O17+U17+AA17</f>
        <v>15</v>
      </c>
      <c r="W23" s="48"/>
      <c r="X23" s="48"/>
      <c r="Y23" s="42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</row>
    <row r="24" s="1" customFormat="1" ht="36" customHeight="1" spans="1:50">
      <c r="A24" s="3"/>
      <c r="B24" s="4"/>
      <c r="C24" s="4"/>
      <c r="D24" s="4"/>
      <c r="E24" s="4"/>
      <c r="F24" s="5"/>
      <c r="G24" s="3"/>
      <c r="H24" s="4"/>
      <c r="I24" s="4"/>
      <c r="J24" s="4"/>
      <c r="K24" s="4"/>
      <c r="L24" s="5"/>
      <c r="M24" s="3"/>
      <c r="N24" s="4"/>
      <c r="O24" s="4"/>
      <c r="P24" s="4"/>
      <c r="Q24" s="4"/>
      <c r="R24" s="5"/>
      <c r="S24" s="3"/>
      <c r="T24" s="4"/>
      <c r="U24" s="4"/>
      <c r="V24" s="4"/>
      <c r="W24" s="4"/>
      <c r="X24" s="5"/>
      <c r="Y24" s="3"/>
      <c r="Z24" s="4"/>
      <c r="AA24" s="4"/>
      <c r="AB24" s="4"/>
      <c r="AC24" s="4"/>
      <c r="AD24" s="5"/>
      <c r="AE24" s="6"/>
      <c r="AF24" s="50"/>
      <c r="AG24" s="51"/>
      <c r="AH24" s="50"/>
      <c r="AI24" s="49"/>
      <c r="AJ24" s="49"/>
      <c r="AK24" s="49"/>
      <c r="AL24" s="49"/>
      <c r="AM24" s="49"/>
      <c r="AN24" s="49"/>
      <c r="AO24" s="49"/>
      <c r="AP24" s="51"/>
      <c r="AQ24" s="49"/>
      <c r="AR24" s="49"/>
      <c r="AS24" s="49"/>
    </row>
    <row r="25" s="1" customFormat="1" ht="36" customHeight="1" spans="1:50">
      <c r="A25" s="11"/>
      <c r="B25" s="12" t="s">
        <v>85</v>
      </c>
      <c r="C25" s="12"/>
      <c r="D25" s="12"/>
      <c r="E25" s="12"/>
      <c r="F25" s="13"/>
      <c r="G25" s="11"/>
      <c r="H25" s="12" t="s">
        <v>85</v>
      </c>
      <c r="I25" s="12"/>
      <c r="J25" s="12"/>
      <c r="K25" s="12"/>
      <c r="L25" s="13"/>
      <c r="M25" s="11"/>
      <c r="N25" s="12" t="s">
        <v>85</v>
      </c>
      <c r="O25" s="12"/>
      <c r="P25" s="12"/>
      <c r="Q25" s="12"/>
      <c r="R25" s="13"/>
      <c r="S25" s="11"/>
      <c r="T25" s="12" t="s">
        <v>85</v>
      </c>
      <c r="U25" s="12"/>
      <c r="V25" s="12"/>
      <c r="W25" s="12"/>
      <c r="X25" s="13"/>
      <c r="Y25" s="11"/>
      <c r="Z25" s="12" t="s">
        <v>85</v>
      </c>
      <c r="AA25" s="12"/>
      <c r="AB25" s="12"/>
      <c r="AC25" s="12"/>
      <c r="AD25" s="13"/>
      <c r="AE25" s="14"/>
      <c r="AF25" s="50"/>
      <c r="AG25" s="49"/>
      <c r="AH25" s="52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</row>
    <row r="26" s="1" customFormat="1" ht="36" customHeight="1" spans="1:50">
      <c r="A26" s="19"/>
      <c r="B26" s="20" t="s">
        <v>120</v>
      </c>
      <c r="C26" s="21">
        <f ca="1">IF(C27&gt;0,J45*C27-P45*(C27-((D46+J46)/2)),0)</f>
        <v>24</v>
      </c>
      <c r="D26" s="22" t="s">
        <v>121</v>
      </c>
      <c r="E26" s="22"/>
      <c r="F26" s="23"/>
      <c r="G26" s="19"/>
      <c r="H26" s="20" t="s">
        <v>120</v>
      </c>
      <c r="I26" s="21">
        <f ca="1">IF(I27&gt;0,J45*I27-P45*(I27-((D46+J46)/2)),0)</f>
        <v>24</v>
      </c>
      <c r="J26" s="22" t="s">
        <v>121</v>
      </c>
      <c r="K26" s="22"/>
      <c r="L26" s="23"/>
      <c r="M26" s="19"/>
      <c r="N26" s="20" t="s">
        <v>120</v>
      </c>
      <c r="O26" s="21">
        <f ca="1">IF(O27&gt;0,J45*O27-P45*(O27-((D46+J46)/2)),0)</f>
        <v>0</v>
      </c>
      <c r="P26" s="22" t="s">
        <v>121</v>
      </c>
      <c r="Q26" s="22"/>
      <c r="R26" s="23"/>
      <c r="S26" s="19"/>
      <c r="T26" s="20" t="s">
        <v>120</v>
      </c>
      <c r="U26" s="21">
        <f ca="1">IF(U27&gt;0,J45*U27-P45*(U27-((D46+J46)/2)),0)</f>
        <v>0</v>
      </c>
      <c r="V26" s="22" t="s">
        <v>121</v>
      </c>
      <c r="W26" s="22"/>
      <c r="X26" s="23"/>
      <c r="Y26" s="19"/>
      <c r="Z26" s="20" t="s">
        <v>120</v>
      </c>
      <c r="AA26" s="21">
        <f ca="1">IF(AA27&gt;0,J45*AA27-P45*(AA27-((D46+J46)/2)),0)</f>
        <v>0</v>
      </c>
      <c r="AB26" s="22" t="s">
        <v>121</v>
      </c>
      <c r="AC26" s="22"/>
      <c r="AD26" s="23"/>
      <c r="AE26" s="22"/>
      <c r="AF26" s="50"/>
      <c r="AG26" s="51"/>
      <c r="AH26" s="49"/>
      <c r="AI26" s="49"/>
      <c r="AJ26" s="49"/>
      <c r="AK26" s="49"/>
      <c r="AL26" s="49"/>
      <c r="AM26" s="49"/>
      <c r="AN26" s="49"/>
      <c r="AO26" s="49"/>
      <c r="AP26" s="51"/>
      <c r="AQ26" s="49"/>
      <c r="AR26" s="49"/>
      <c r="AS26" s="49"/>
    </row>
    <row r="27" s="1" customFormat="1" ht="36" customHeight="1" spans="1:50">
      <c r="A27" s="19"/>
      <c r="B27" s="20" t="s">
        <v>123</v>
      </c>
      <c r="C27" s="27">
        <f ca="1">IF(D45&gt;=1,RANDBETWEEN(D46,J46),0)</f>
        <v>3</v>
      </c>
      <c r="D27" s="28"/>
      <c r="E27" s="29"/>
      <c r="F27" s="23"/>
      <c r="G27" s="19"/>
      <c r="H27" s="20" t="s">
        <v>123</v>
      </c>
      <c r="I27" s="27">
        <f ca="1">IF(D45&gt;=2,RANDBETWEEN(D46,J46),0)</f>
        <v>3</v>
      </c>
      <c r="J27" s="28"/>
      <c r="K27" s="29"/>
      <c r="L27" s="23"/>
      <c r="M27" s="19"/>
      <c r="N27" s="20" t="s">
        <v>123</v>
      </c>
      <c r="O27" s="27">
        <f ca="1">IF(D45&gt;=3,RANDBETWEEN(D46,J46),0)</f>
        <v>0</v>
      </c>
      <c r="P27" s="28"/>
      <c r="Q27" s="29"/>
      <c r="R27" s="23"/>
      <c r="S27" s="19"/>
      <c r="T27" s="20" t="s">
        <v>123</v>
      </c>
      <c r="U27" s="27">
        <f ca="1">IF(D45&gt;=4,RANDBETWEEN(D46,J46),0)</f>
        <v>0</v>
      </c>
      <c r="V27" s="28"/>
      <c r="W27" s="29"/>
      <c r="X27" s="23"/>
      <c r="Y27" s="19"/>
      <c r="Z27" s="20" t="s">
        <v>123</v>
      </c>
      <c r="AA27" s="27">
        <f ca="1">IF(D45&gt;=5,RANDBETWEEN(D46,J46),0)</f>
        <v>0</v>
      </c>
      <c r="AB27" s="28"/>
      <c r="AC27" s="29"/>
      <c r="AD27" s="23"/>
      <c r="AE27" s="22"/>
      <c r="AF27" s="50"/>
      <c r="AG27" s="51"/>
      <c r="AH27" s="49"/>
      <c r="AI27" s="49"/>
      <c r="AJ27" s="49"/>
      <c r="AK27" s="49"/>
      <c r="AL27" s="49"/>
      <c r="AM27" s="49"/>
      <c r="AN27" s="49"/>
      <c r="AO27" s="49"/>
      <c r="AP27" s="51"/>
      <c r="AQ27" s="49"/>
      <c r="AR27" s="49"/>
      <c r="AS27" s="49"/>
    </row>
    <row r="28" s="1" customFormat="1" ht="36" customHeight="1" spans="1:50">
      <c r="A28" s="19"/>
      <c r="B28" s="20" t="s">
        <v>124</v>
      </c>
      <c r="C28" s="30">
        <f ca="1">C26/C27</f>
        <v>8</v>
      </c>
      <c r="D28" s="22" t="s">
        <v>121</v>
      </c>
      <c r="E28" s="22"/>
      <c r="F28" s="23"/>
      <c r="G28" s="19"/>
      <c r="H28" s="20" t="s">
        <v>124</v>
      </c>
      <c r="I28" s="30">
        <f ca="1">I26/I27</f>
        <v>8</v>
      </c>
      <c r="J28" s="22" t="s">
        <v>121</v>
      </c>
      <c r="K28" s="22"/>
      <c r="L28" s="23"/>
      <c r="M28" s="19"/>
      <c r="N28" s="20" t="s">
        <v>124</v>
      </c>
      <c r="O28" s="30" t="e">
        <f ca="1">O26/O27</f>
        <v>#DIV/0!</v>
      </c>
      <c r="P28" s="22" t="s">
        <v>121</v>
      </c>
      <c r="Q28" s="22"/>
      <c r="R28" s="23"/>
      <c r="S28" s="19"/>
      <c r="T28" s="20" t="s">
        <v>124</v>
      </c>
      <c r="U28" s="30" t="e">
        <f ca="1">U26/U27</f>
        <v>#DIV/0!</v>
      </c>
      <c r="V28" s="22" t="s">
        <v>121</v>
      </c>
      <c r="W28" s="22"/>
      <c r="X28" s="23"/>
      <c r="Y28" s="19"/>
      <c r="Z28" s="20" t="s">
        <v>124</v>
      </c>
      <c r="AA28" s="30" t="e">
        <f ca="1">AA26/AA27</f>
        <v>#DIV/0!</v>
      </c>
      <c r="AB28" s="22" t="s">
        <v>121</v>
      </c>
      <c r="AC28" s="22"/>
      <c r="AD28" s="23"/>
      <c r="AE28" s="22"/>
      <c r="AF28" s="50"/>
      <c r="AG28" s="51"/>
      <c r="AH28" s="49"/>
      <c r="AI28" s="49"/>
      <c r="AJ28" s="49"/>
      <c r="AK28" s="49"/>
      <c r="AL28" s="49"/>
      <c r="AM28" s="49"/>
      <c r="AN28" s="49"/>
      <c r="AO28" s="49"/>
      <c r="AP28" s="51"/>
      <c r="AQ28" s="49"/>
      <c r="AR28" s="49"/>
      <c r="AS28" s="49"/>
    </row>
    <row r="29" s="1" customFormat="1" ht="36" customHeight="1" spans="1:50">
      <c r="A29" s="19"/>
      <c r="B29" s="20" t="s">
        <v>125</v>
      </c>
      <c r="C29" s="28">
        <f ca="1">IF(C27&gt;0,RANDBETWEEN(2,4),0)</f>
        <v>4</v>
      </c>
      <c r="D29" s="22" t="s">
        <v>126</v>
      </c>
      <c r="E29" s="22"/>
      <c r="F29" s="23"/>
      <c r="G29" s="19"/>
      <c r="H29" s="20" t="s">
        <v>125</v>
      </c>
      <c r="I29" s="28">
        <f ca="1">IF(I27&gt;0,RANDBETWEEN(2,4),0)</f>
        <v>3</v>
      </c>
      <c r="J29" s="22" t="s">
        <v>126</v>
      </c>
      <c r="K29" s="22"/>
      <c r="L29" s="23"/>
      <c r="M29" s="19"/>
      <c r="N29" s="20" t="s">
        <v>125</v>
      </c>
      <c r="O29" s="28">
        <f ca="1">IF(O27&gt;0,RANDBETWEEN(2,4),0)</f>
        <v>0</v>
      </c>
      <c r="P29" s="22" t="s">
        <v>126</v>
      </c>
      <c r="Q29" s="22"/>
      <c r="R29" s="23"/>
      <c r="S29" s="19"/>
      <c r="T29" s="20" t="s">
        <v>125</v>
      </c>
      <c r="U29" s="28">
        <f ca="1">IF(U27&gt;0,RANDBETWEEN(2,4),0)</f>
        <v>0</v>
      </c>
      <c r="V29" s="22" t="s">
        <v>126</v>
      </c>
      <c r="W29" s="22"/>
      <c r="X29" s="23"/>
      <c r="Y29" s="19"/>
      <c r="Z29" s="20" t="s">
        <v>125</v>
      </c>
      <c r="AA29" s="28">
        <f ca="1">IF(AA27&gt;0,RANDBETWEEN(2,4),0)</f>
        <v>0</v>
      </c>
      <c r="AB29" s="22" t="s">
        <v>126</v>
      </c>
      <c r="AC29" s="22"/>
      <c r="AD29" s="23"/>
      <c r="AE29" s="22"/>
      <c r="AF29" s="50"/>
      <c r="AG29" s="51"/>
      <c r="AH29" s="49"/>
      <c r="AI29" s="49"/>
      <c r="AJ29" s="49"/>
      <c r="AK29" s="49"/>
      <c r="AL29" s="49"/>
      <c r="AM29" s="49"/>
      <c r="AN29" s="49"/>
      <c r="AO29" s="49"/>
      <c r="AP29" s="51"/>
      <c r="AQ29" s="49"/>
      <c r="AR29" s="49"/>
      <c r="AS29" s="49"/>
    </row>
    <row r="30" s="1" customFormat="1" ht="36" customHeight="1" spans="1:50">
      <c r="A30" s="19"/>
      <c r="B30" s="31" t="s">
        <v>168</v>
      </c>
      <c r="C30" s="31"/>
      <c r="D30" s="31"/>
      <c r="E30" s="31"/>
      <c r="F30" s="32"/>
      <c r="G30" s="19"/>
      <c r="H30" s="31" t="s">
        <v>168</v>
      </c>
      <c r="I30" s="31"/>
      <c r="J30" s="31"/>
      <c r="K30" s="31"/>
      <c r="L30" s="32"/>
      <c r="M30" s="19"/>
      <c r="N30" s="31" t="s">
        <v>168</v>
      </c>
      <c r="O30" s="31"/>
      <c r="P30" s="31"/>
      <c r="Q30" s="31"/>
      <c r="R30" s="32"/>
      <c r="S30" s="19"/>
      <c r="T30" s="31" t="s">
        <v>168</v>
      </c>
      <c r="U30" s="31"/>
      <c r="V30" s="31"/>
      <c r="W30" s="31"/>
      <c r="X30" s="32"/>
      <c r="Y30" s="19"/>
      <c r="Z30" s="31" t="s">
        <v>168</v>
      </c>
      <c r="AA30" s="31"/>
      <c r="AB30" s="31"/>
      <c r="AC30" s="31"/>
      <c r="AD30" s="32"/>
      <c r="AE30" s="33"/>
      <c r="AF30" s="50"/>
      <c r="AG30" s="51"/>
      <c r="AH30" s="49"/>
      <c r="AI30" s="49"/>
      <c r="AJ30" s="49"/>
      <c r="AK30" s="49"/>
      <c r="AL30" s="49"/>
      <c r="AM30" s="49"/>
      <c r="AN30" s="49"/>
      <c r="AO30" s="49"/>
      <c r="AP30" s="51"/>
      <c r="AQ30" s="49"/>
      <c r="AR30" s="49"/>
      <c r="AS30" s="49"/>
    </row>
    <row r="31" s="1" customFormat="1" ht="36" customHeight="1" spans="1:50">
      <c r="A31" s="3"/>
      <c r="B31" s="4"/>
      <c r="C31" s="4"/>
      <c r="D31" s="4"/>
      <c r="E31" s="4"/>
      <c r="F31" s="5"/>
      <c r="G31" s="3"/>
      <c r="H31" s="4"/>
      <c r="I31" s="4"/>
      <c r="J31" s="4"/>
      <c r="K31" s="4"/>
      <c r="L31" s="5"/>
      <c r="M31" s="3"/>
      <c r="N31" s="4"/>
      <c r="O31" s="4"/>
      <c r="P31" s="4"/>
      <c r="Q31" s="4"/>
      <c r="R31" s="5"/>
      <c r="S31" s="3"/>
      <c r="T31" s="4"/>
      <c r="U31" s="4"/>
      <c r="V31" s="4"/>
      <c r="W31" s="4"/>
      <c r="X31" s="5"/>
      <c r="Y31" s="3"/>
      <c r="Z31" s="4"/>
      <c r="AA31" s="4"/>
      <c r="AB31" s="4"/>
      <c r="AC31" s="4"/>
      <c r="AD31" s="5"/>
      <c r="AE31" s="6"/>
      <c r="AF31" s="50"/>
      <c r="AG31" s="51"/>
      <c r="AH31" s="49"/>
      <c r="AI31" s="49"/>
      <c r="AJ31" s="49"/>
      <c r="AK31" s="49"/>
      <c r="AL31" s="49"/>
      <c r="AM31" s="49"/>
      <c r="AN31" s="49"/>
      <c r="AO31" s="49"/>
      <c r="AP31" s="51"/>
      <c r="AQ31" s="49"/>
      <c r="AR31" s="49"/>
      <c r="AS31" s="49"/>
    </row>
    <row r="32" s="1" customFormat="1" ht="36" customHeight="1" spans="1:50">
      <c r="A32" s="11"/>
      <c r="B32" s="12" t="s">
        <v>85</v>
      </c>
      <c r="C32" s="12"/>
      <c r="D32" s="12"/>
      <c r="E32" s="12"/>
      <c r="F32" s="13"/>
      <c r="G32" s="11"/>
      <c r="H32" s="12" t="s">
        <v>85</v>
      </c>
      <c r="I32" s="12"/>
      <c r="J32" s="12"/>
      <c r="K32" s="12"/>
      <c r="L32" s="13"/>
      <c r="M32" s="11"/>
      <c r="N32" s="12" t="s">
        <v>85</v>
      </c>
      <c r="O32" s="12"/>
      <c r="P32" s="12"/>
      <c r="Q32" s="12"/>
      <c r="R32" s="13"/>
      <c r="S32" s="11"/>
      <c r="T32" s="12" t="s">
        <v>85</v>
      </c>
      <c r="U32" s="12"/>
      <c r="V32" s="12"/>
      <c r="W32" s="12"/>
      <c r="X32" s="13"/>
      <c r="Y32" s="11"/>
      <c r="Z32" s="12" t="s">
        <v>85</v>
      </c>
      <c r="AA32" s="12"/>
      <c r="AB32" s="12"/>
      <c r="AC32" s="12"/>
      <c r="AD32" s="13"/>
      <c r="AE32" s="14"/>
      <c r="AF32" s="50"/>
      <c r="AG32" s="51"/>
      <c r="AH32" s="49"/>
      <c r="AI32" s="49"/>
      <c r="AJ32" s="49"/>
      <c r="AK32" s="49"/>
      <c r="AL32" s="49"/>
      <c r="AM32" s="49"/>
      <c r="AN32" s="49"/>
      <c r="AO32" s="49"/>
      <c r="AP32" s="51"/>
      <c r="AQ32" s="49"/>
      <c r="AR32" s="49"/>
      <c r="AS32" s="49"/>
    </row>
    <row r="33" s="1" customFormat="1" ht="36" customHeight="1" spans="1:45">
      <c r="A33" s="19"/>
      <c r="B33" s="20" t="s">
        <v>120</v>
      </c>
      <c r="C33" s="21">
        <f ca="1">IF(C34&gt;0,J45*C34-P45*(C34-((D46+J46)/2)),0)</f>
        <v>0</v>
      </c>
      <c r="D33" s="22" t="s">
        <v>121</v>
      </c>
      <c r="E33" s="22"/>
      <c r="F33" s="23"/>
      <c r="G33" s="19"/>
      <c r="H33" s="20" t="s">
        <v>120</v>
      </c>
      <c r="I33" s="21">
        <f ca="1">IF(I34&gt;0,J45*I34-P45*(I34-((D46+J46)/2)),0)</f>
        <v>0</v>
      </c>
      <c r="J33" s="22" t="s">
        <v>121</v>
      </c>
      <c r="K33" s="22"/>
      <c r="L33" s="23"/>
      <c r="M33" s="19"/>
      <c r="N33" s="20" t="s">
        <v>120</v>
      </c>
      <c r="O33" s="21">
        <f ca="1">IF(O34&gt;0,J45*O34-P45*(O34-((D46+J46)/2)),0)</f>
        <v>0</v>
      </c>
      <c r="P33" s="22" t="s">
        <v>121</v>
      </c>
      <c r="Q33" s="22"/>
      <c r="R33" s="23"/>
      <c r="S33" s="19"/>
      <c r="T33" s="20" t="s">
        <v>120</v>
      </c>
      <c r="U33" s="21">
        <f ca="1">IF(U34&gt;0,J45*U34-P45*(U34-((D46+J46)/2)),0)</f>
        <v>0</v>
      </c>
      <c r="V33" s="22" t="s">
        <v>121</v>
      </c>
      <c r="W33" s="22"/>
      <c r="X33" s="23"/>
      <c r="Y33" s="19"/>
      <c r="Z33" s="20" t="s">
        <v>120</v>
      </c>
      <c r="AA33" s="21">
        <f ca="1">IF(AA34&gt;0,J45*AA34-P45*(AA34-((D46+J46)/2)),0)</f>
        <v>0</v>
      </c>
      <c r="AB33" s="22" t="s">
        <v>121</v>
      </c>
      <c r="AC33" s="22"/>
      <c r="AD33" s="23"/>
      <c r="AE33" s="22"/>
      <c r="AF33" s="50"/>
      <c r="AG33" s="51"/>
      <c r="AH33" s="49"/>
      <c r="AI33" s="49"/>
      <c r="AJ33" s="49"/>
      <c r="AK33" s="49"/>
      <c r="AL33" s="49"/>
      <c r="AM33" s="49"/>
      <c r="AN33" s="49"/>
      <c r="AO33" s="49"/>
      <c r="AP33" s="51"/>
      <c r="AQ33" s="49"/>
      <c r="AR33" s="49"/>
      <c r="AS33" s="49"/>
    </row>
    <row r="34" s="1" customFormat="1" ht="36" customHeight="1" spans="1:45">
      <c r="A34" s="19"/>
      <c r="B34" s="20" t="s">
        <v>123</v>
      </c>
      <c r="C34" s="27">
        <f ca="1">IF(D45&gt;=6,RANDBETWEEN(D46,J46),0)</f>
        <v>0</v>
      </c>
      <c r="D34" s="28"/>
      <c r="E34" s="29"/>
      <c r="F34" s="23"/>
      <c r="G34" s="19"/>
      <c r="H34" s="20" t="s">
        <v>123</v>
      </c>
      <c r="I34" s="27">
        <f ca="1">IF(D45&gt;=7,RANDBETWEEN(D46,J46),0)</f>
        <v>0</v>
      </c>
      <c r="J34" s="28"/>
      <c r="K34" s="29"/>
      <c r="L34" s="23"/>
      <c r="M34" s="19"/>
      <c r="N34" s="20" t="s">
        <v>123</v>
      </c>
      <c r="O34" s="27">
        <f ca="1">IF(D45&gt;=8,RANDBETWEEN(D46,J46),0)</f>
        <v>0</v>
      </c>
      <c r="P34" s="28"/>
      <c r="Q34" s="29"/>
      <c r="R34" s="23"/>
      <c r="S34" s="19"/>
      <c r="T34" s="20" t="s">
        <v>123</v>
      </c>
      <c r="U34" s="27">
        <f ca="1">IF(D45&gt;=9,RANDBETWEEN(D46,J46),0)</f>
        <v>0</v>
      </c>
      <c r="V34" s="28"/>
      <c r="W34" s="29"/>
      <c r="X34" s="23"/>
      <c r="Y34" s="19"/>
      <c r="Z34" s="20" t="s">
        <v>123</v>
      </c>
      <c r="AA34" s="27">
        <f ca="1">IF(D45&gt;=10,RANDBETWEEN(D46,J46),0)</f>
        <v>0</v>
      </c>
      <c r="AB34" s="28"/>
      <c r="AC34" s="29"/>
      <c r="AD34" s="23"/>
      <c r="AE34" s="22"/>
      <c r="AF34" s="50"/>
      <c r="AG34" s="51"/>
      <c r="AH34" s="49"/>
      <c r="AI34" s="49"/>
      <c r="AJ34" s="49"/>
      <c r="AK34" s="49"/>
      <c r="AL34" s="49"/>
      <c r="AM34" s="49"/>
      <c r="AN34" s="49"/>
      <c r="AO34" s="49"/>
      <c r="AP34" s="51"/>
      <c r="AQ34" s="49"/>
      <c r="AR34" s="49"/>
      <c r="AS34" s="49"/>
    </row>
    <row r="35" s="1" customFormat="1" ht="36" customHeight="1" spans="1:45">
      <c r="A35" s="19"/>
      <c r="B35" s="20" t="s">
        <v>124</v>
      </c>
      <c r="C35" s="30" t="e">
        <f ca="1">C33/C34</f>
        <v>#DIV/0!</v>
      </c>
      <c r="D35" s="22" t="s">
        <v>121</v>
      </c>
      <c r="E35" s="22"/>
      <c r="F35" s="23"/>
      <c r="G35" s="19"/>
      <c r="H35" s="20" t="s">
        <v>124</v>
      </c>
      <c r="I35" s="30" t="e">
        <f ca="1">I33/I34</f>
        <v>#DIV/0!</v>
      </c>
      <c r="J35" s="22" t="s">
        <v>121</v>
      </c>
      <c r="K35" s="22"/>
      <c r="L35" s="23"/>
      <c r="M35" s="19"/>
      <c r="N35" s="20" t="s">
        <v>124</v>
      </c>
      <c r="O35" s="30" t="e">
        <f ca="1">O33/O34</f>
        <v>#DIV/0!</v>
      </c>
      <c r="P35" s="22" t="s">
        <v>121</v>
      </c>
      <c r="Q35" s="22"/>
      <c r="R35" s="23"/>
      <c r="S35" s="19"/>
      <c r="T35" s="20" t="s">
        <v>124</v>
      </c>
      <c r="U35" s="30" t="e">
        <f ca="1">U33/U34</f>
        <v>#DIV/0!</v>
      </c>
      <c r="V35" s="22" t="s">
        <v>121</v>
      </c>
      <c r="W35" s="22"/>
      <c r="X35" s="23"/>
      <c r="Y35" s="19"/>
      <c r="Z35" s="20" t="s">
        <v>124</v>
      </c>
      <c r="AA35" s="30" t="e">
        <f ca="1">AA33/AA34</f>
        <v>#DIV/0!</v>
      </c>
      <c r="AB35" s="22" t="s">
        <v>121</v>
      </c>
      <c r="AC35" s="22"/>
      <c r="AD35" s="23"/>
      <c r="AE35" s="22"/>
      <c r="AF35" s="50"/>
      <c r="AG35" s="51"/>
      <c r="AH35" s="49"/>
      <c r="AI35" s="49"/>
      <c r="AJ35" s="49"/>
      <c r="AK35" s="49"/>
      <c r="AL35" s="49"/>
      <c r="AM35" s="49"/>
      <c r="AN35" s="49"/>
      <c r="AO35" s="49"/>
      <c r="AP35" s="51"/>
      <c r="AQ35" s="49"/>
      <c r="AR35" s="49"/>
      <c r="AS35" s="49"/>
    </row>
    <row r="36" s="1" customFormat="1" ht="36" customHeight="1" spans="1:45">
      <c r="A36" s="19"/>
      <c r="B36" s="20" t="s">
        <v>125</v>
      </c>
      <c r="C36" s="28">
        <f ca="1">IF(C34&gt;0,RANDBETWEEN(2,4),0)</f>
        <v>0</v>
      </c>
      <c r="D36" s="22" t="s">
        <v>126</v>
      </c>
      <c r="E36" s="22"/>
      <c r="F36" s="23"/>
      <c r="G36" s="19"/>
      <c r="H36" s="20" t="s">
        <v>125</v>
      </c>
      <c r="I36" s="28">
        <f ca="1">IF(I34&gt;0,RANDBETWEEN(2,4),0)</f>
        <v>0</v>
      </c>
      <c r="J36" s="22" t="s">
        <v>126</v>
      </c>
      <c r="K36" s="22"/>
      <c r="L36" s="23"/>
      <c r="M36" s="19"/>
      <c r="N36" s="20" t="s">
        <v>125</v>
      </c>
      <c r="O36" s="28">
        <f ca="1">IF(O34&gt;0,RANDBETWEEN(2,4),0)</f>
        <v>0</v>
      </c>
      <c r="P36" s="22" t="s">
        <v>126</v>
      </c>
      <c r="Q36" s="22"/>
      <c r="R36" s="23"/>
      <c r="S36" s="19"/>
      <c r="T36" s="20" t="s">
        <v>125</v>
      </c>
      <c r="U36" s="28">
        <f ca="1">IF(U34&gt;0,RANDBETWEEN(2,4),0)</f>
        <v>0</v>
      </c>
      <c r="V36" s="22" t="s">
        <v>126</v>
      </c>
      <c r="W36" s="22"/>
      <c r="X36" s="23"/>
      <c r="Y36" s="19"/>
      <c r="Z36" s="20" t="s">
        <v>125</v>
      </c>
      <c r="AA36" s="28">
        <f ca="1">IF(AA34&gt;0,RANDBETWEEN(2,4),0)</f>
        <v>0</v>
      </c>
      <c r="AB36" s="22" t="s">
        <v>126</v>
      </c>
      <c r="AC36" s="22"/>
      <c r="AD36" s="23"/>
      <c r="AE36" s="22"/>
      <c r="AF36" s="50"/>
      <c r="AG36" s="51"/>
      <c r="AH36" s="49"/>
      <c r="AI36" s="49"/>
      <c r="AJ36" s="49"/>
      <c r="AK36" s="49"/>
      <c r="AL36" s="49"/>
      <c r="AM36" s="49"/>
      <c r="AN36" s="49"/>
      <c r="AO36" s="49"/>
      <c r="AP36" s="51"/>
      <c r="AQ36" s="49"/>
      <c r="AR36" s="49"/>
      <c r="AS36" s="49"/>
    </row>
    <row r="37" s="1" customFormat="1" ht="36" customHeight="1" spans="1:45">
      <c r="A37" s="19"/>
      <c r="B37" s="31" t="s">
        <v>168</v>
      </c>
      <c r="C37" s="31"/>
      <c r="D37" s="31"/>
      <c r="E37" s="31"/>
      <c r="F37" s="32"/>
      <c r="G37" s="19"/>
      <c r="H37" s="31" t="s">
        <v>168</v>
      </c>
      <c r="I37" s="31"/>
      <c r="J37" s="31"/>
      <c r="K37" s="31"/>
      <c r="L37" s="32"/>
      <c r="M37" s="19"/>
      <c r="N37" s="31" t="s">
        <v>168</v>
      </c>
      <c r="O37" s="31"/>
      <c r="P37" s="31"/>
      <c r="Q37" s="31"/>
      <c r="R37" s="32"/>
      <c r="S37" s="19"/>
      <c r="T37" s="31" t="s">
        <v>168</v>
      </c>
      <c r="U37" s="31"/>
      <c r="V37" s="31"/>
      <c r="W37" s="31"/>
      <c r="X37" s="32"/>
      <c r="Y37" s="19"/>
      <c r="Z37" s="31" t="s">
        <v>168</v>
      </c>
      <c r="AA37" s="31"/>
      <c r="AB37" s="31"/>
      <c r="AC37" s="31"/>
      <c r="AD37" s="32"/>
      <c r="AE37" s="33"/>
      <c r="AF37" s="50"/>
      <c r="AG37" s="51"/>
      <c r="AH37" s="49"/>
      <c r="AI37" s="49"/>
      <c r="AJ37" s="49"/>
      <c r="AK37" s="49"/>
      <c r="AL37" s="49"/>
      <c r="AM37" s="49"/>
      <c r="AN37" s="49"/>
      <c r="AO37" s="49"/>
      <c r="AP37" s="51"/>
      <c r="AQ37" s="49"/>
      <c r="AR37" s="49"/>
      <c r="AS37" s="49"/>
    </row>
    <row r="38" s="1" customFormat="1" ht="36" customHeight="1" spans="1:45">
      <c r="A38" s="3"/>
      <c r="B38" s="4"/>
      <c r="C38" s="4"/>
      <c r="D38" s="4"/>
      <c r="E38" s="4"/>
      <c r="F38" s="5"/>
      <c r="G38" s="3"/>
      <c r="H38" s="4"/>
      <c r="I38" s="4"/>
      <c r="J38" s="4"/>
      <c r="K38" s="4"/>
      <c r="L38" s="5"/>
      <c r="M38" s="3"/>
      <c r="N38" s="4"/>
      <c r="O38" s="4"/>
      <c r="P38" s="4"/>
      <c r="Q38" s="4"/>
      <c r="R38" s="5"/>
      <c r="S38" s="3"/>
      <c r="T38" s="4"/>
      <c r="U38" s="4"/>
      <c r="V38" s="4"/>
      <c r="W38" s="4"/>
      <c r="X38" s="5"/>
      <c r="Y38" s="3"/>
      <c r="Z38" s="4"/>
      <c r="AA38" s="4"/>
      <c r="AB38" s="4"/>
      <c r="AC38" s="4"/>
      <c r="AD38" s="5"/>
      <c r="AE38" s="6"/>
      <c r="AF38" s="50"/>
      <c r="AG38" s="51"/>
      <c r="AH38" s="49"/>
      <c r="AI38" s="49"/>
      <c r="AJ38" s="49"/>
      <c r="AK38" s="49"/>
      <c r="AL38" s="49"/>
      <c r="AM38" s="49"/>
      <c r="AN38" s="49"/>
      <c r="AO38" s="49"/>
      <c r="AP38" s="51"/>
      <c r="AQ38" s="49"/>
      <c r="AR38" s="49"/>
      <c r="AS38" s="49"/>
    </row>
    <row r="39" s="1" customFormat="1" ht="36" customHeight="1" spans="1:45">
      <c r="A39" s="11"/>
      <c r="B39" s="12" t="s">
        <v>85</v>
      </c>
      <c r="C39" s="12"/>
      <c r="D39" s="12"/>
      <c r="E39" s="12"/>
      <c r="F39" s="13"/>
      <c r="G39" s="11"/>
      <c r="H39" s="12" t="s">
        <v>85</v>
      </c>
      <c r="I39" s="12"/>
      <c r="J39" s="12"/>
      <c r="K39" s="12"/>
      <c r="L39" s="13"/>
      <c r="M39" s="11"/>
      <c r="N39" s="12" t="s">
        <v>85</v>
      </c>
      <c r="O39" s="12"/>
      <c r="P39" s="12"/>
      <c r="Q39" s="12"/>
      <c r="R39" s="13"/>
      <c r="S39" s="11"/>
      <c r="T39" s="12" t="s">
        <v>85</v>
      </c>
      <c r="U39" s="12"/>
      <c r="V39" s="12"/>
      <c r="W39" s="12"/>
      <c r="X39" s="13"/>
      <c r="Y39" s="11"/>
      <c r="Z39" s="12" t="s">
        <v>85</v>
      </c>
      <c r="AA39" s="12"/>
      <c r="AB39" s="12"/>
      <c r="AC39" s="12"/>
      <c r="AD39" s="13"/>
      <c r="AE39" s="14"/>
      <c r="AF39" s="50"/>
      <c r="AG39" s="51"/>
      <c r="AH39" s="49"/>
      <c r="AI39" s="49"/>
      <c r="AJ39" s="49"/>
      <c r="AK39" s="49"/>
      <c r="AL39" s="49"/>
      <c r="AM39" s="49"/>
      <c r="AN39" s="49"/>
      <c r="AO39" s="49"/>
      <c r="AP39" s="51"/>
      <c r="AQ39" s="49"/>
      <c r="AR39" s="49"/>
      <c r="AS39" s="49"/>
    </row>
    <row r="40" s="1" customFormat="1" ht="36" customHeight="1" spans="1:45">
      <c r="A40" s="19"/>
      <c r="B40" s="20" t="s">
        <v>120</v>
      </c>
      <c r="C40" s="21">
        <f ca="1">IF(C41&gt;0,J45*C41-P45*(C41-((D46+J46)/2)),0)</f>
        <v>0</v>
      </c>
      <c r="D40" s="22" t="s">
        <v>121</v>
      </c>
      <c r="E40" s="22"/>
      <c r="F40" s="23"/>
      <c r="G40" s="19"/>
      <c r="H40" s="20" t="s">
        <v>120</v>
      </c>
      <c r="I40" s="21">
        <f ca="1">IF(I41&gt;0,J45*I41-P45*(I41-((D46+J46)/2)),0)</f>
        <v>0</v>
      </c>
      <c r="J40" s="22" t="s">
        <v>121</v>
      </c>
      <c r="K40" s="22"/>
      <c r="L40" s="23"/>
      <c r="M40" s="19"/>
      <c r="N40" s="20" t="s">
        <v>120</v>
      </c>
      <c r="O40" s="21">
        <f ca="1">IF(O41&gt;0,J45*O41-P45*(O41-((D46+J46)/2)),0)</f>
        <v>0</v>
      </c>
      <c r="P40" s="22" t="s">
        <v>121</v>
      </c>
      <c r="Q40" s="22"/>
      <c r="R40" s="23"/>
      <c r="S40" s="19"/>
      <c r="T40" s="20" t="s">
        <v>120</v>
      </c>
      <c r="U40" s="21">
        <f ca="1">IF(U41&gt;0,J45*U41-P45*(U41-((D46+J46)/2)),0)</f>
        <v>0</v>
      </c>
      <c r="V40" s="22" t="s">
        <v>121</v>
      </c>
      <c r="W40" s="22"/>
      <c r="X40" s="23"/>
      <c r="Y40" s="19"/>
      <c r="Z40" s="20" t="s">
        <v>120</v>
      </c>
      <c r="AA40" s="21">
        <f ca="1">IF(AA41&gt;0,J45*AA41-P45*(AA41-((D46+J46)/2)),0)</f>
        <v>0</v>
      </c>
      <c r="AB40" s="22" t="s">
        <v>121</v>
      </c>
      <c r="AC40" s="22"/>
      <c r="AD40" s="23"/>
      <c r="AE40" s="22"/>
      <c r="AF40" s="50"/>
      <c r="AG40" s="51"/>
      <c r="AH40" s="49"/>
      <c r="AI40" s="49"/>
      <c r="AJ40" s="49"/>
      <c r="AK40" s="49"/>
      <c r="AL40" s="49"/>
      <c r="AM40" s="49"/>
      <c r="AN40" s="49"/>
      <c r="AO40" s="49"/>
      <c r="AP40" s="51"/>
      <c r="AQ40" s="49"/>
      <c r="AR40" s="49"/>
      <c r="AS40" s="49"/>
    </row>
    <row r="41" s="1" customFormat="1" ht="36" customHeight="1" spans="1:45">
      <c r="A41" s="19"/>
      <c r="B41" s="20" t="s">
        <v>123</v>
      </c>
      <c r="C41" s="27">
        <f ca="1">IF(D45&gt;=11,RANDBETWEEN(D46,J46),0)</f>
        <v>0</v>
      </c>
      <c r="D41" s="28"/>
      <c r="E41" s="29"/>
      <c r="F41" s="23"/>
      <c r="G41" s="19"/>
      <c r="H41" s="20" t="s">
        <v>123</v>
      </c>
      <c r="I41" s="27">
        <f ca="1">IF(D45&gt;=12,RANDBETWEEN(D46,J46),0)</f>
        <v>0</v>
      </c>
      <c r="J41" s="28"/>
      <c r="K41" s="29"/>
      <c r="L41" s="23"/>
      <c r="M41" s="19"/>
      <c r="N41" s="20" t="s">
        <v>123</v>
      </c>
      <c r="O41" s="27">
        <f ca="1">IF(D45&gt;=13,RANDBETWEEN(D46,J46),0)</f>
        <v>0</v>
      </c>
      <c r="P41" s="28"/>
      <c r="Q41" s="29"/>
      <c r="R41" s="23"/>
      <c r="S41" s="19"/>
      <c r="T41" s="20" t="s">
        <v>123</v>
      </c>
      <c r="U41" s="27">
        <f ca="1">IF(D45&gt;=14,RANDBETWEEN(D46,J46),0)</f>
        <v>0</v>
      </c>
      <c r="V41" s="28"/>
      <c r="W41" s="29"/>
      <c r="X41" s="23"/>
      <c r="Y41" s="19"/>
      <c r="Z41" s="20" t="s">
        <v>123</v>
      </c>
      <c r="AA41" s="27">
        <f ca="1">IF(D45&gt;=15,RANDBETWEEN(D46,J46),0)</f>
        <v>0</v>
      </c>
      <c r="AB41" s="28"/>
      <c r="AC41" s="29"/>
      <c r="AD41" s="23"/>
      <c r="AE41" s="22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</row>
    <row r="42" s="1" customFormat="1" ht="36" customHeight="1" spans="1:45">
      <c r="A42" s="19"/>
      <c r="B42" s="20" t="s">
        <v>124</v>
      </c>
      <c r="C42" s="30" t="e">
        <f ca="1">C40/C41</f>
        <v>#DIV/0!</v>
      </c>
      <c r="D42" s="22" t="s">
        <v>121</v>
      </c>
      <c r="E42" s="22"/>
      <c r="F42" s="23"/>
      <c r="G42" s="19"/>
      <c r="H42" s="20" t="s">
        <v>124</v>
      </c>
      <c r="I42" s="30" t="e">
        <f ca="1">I40/I41</f>
        <v>#DIV/0!</v>
      </c>
      <c r="J42" s="22" t="s">
        <v>121</v>
      </c>
      <c r="K42" s="22"/>
      <c r="L42" s="23"/>
      <c r="M42" s="19"/>
      <c r="N42" s="20" t="s">
        <v>124</v>
      </c>
      <c r="O42" s="30" t="e">
        <f ca="1">O40/O41</f>
        <v>#DIV/0!</v>
      </c>
      <c r="P42" s="22" t="s">
        <v>121</v>
      </c>
      <c r="Q42" s="22"/>
      <c r="R42" s="23"/>
      <c r="S42" s="19"/>
      <c r="T42" s="20" t="s">
        <v>124</v>
      </c>
      <c r="U42" s="30" t="e">
        <f ca="1">U40/U41</f>
        <v>#DIV/0!</v>
      </c>
      <c r="V42" s="22" t="s">
        <v>121</v>
      </c>
      <c r="W42" s="22"/>
      <c r="X42" s="23"/>
      <c r="Y42" s="19"/>
      <c r="Z42" s="20" t="s">
        <v>124</v>
      </c>
      <c r="AA42" s="30" t="e">
        <f ca="1">AA40/AA41</f>
        <v>#DIV/0!</v>
      </c>
      <c r="AB42" s="22" t="s">
        <v>121</v>
      </c>
      <c r="AC42" s="22"/>
      <c r="AD42" s="23"/>
      <c r="AE42" s="22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</row>
    <row r="43" s="1" customFormat="1" ht="36" customHeight="1" spans="1:45">
      <c r="A43" s="19"/>
      <c r="B43" s="20" t="s">
        <v>125</v>
      </c>
      <c r="C43" s="28">
        <f ca="1">IF(C41&gt;0,RANDBETWEEN(2,4),0)</f>
        <v>0</v>
      </c>
      <c r="D43" s="22" t="s">
        <v>126</v>
      </c>
      <c r="E43" s="22"/>
      <c r="F43" s="23"/>
      <c r="G43" s="19"/>
      <c r="H43" s="20" t="s">
        <v>125</v>
      </c>
      <c r="I43" s="28">
        <f ca="1">IF(I41&gt;0,RANDBETWEEN(2,4),0)</f>
        <v>0</v>
      </c>
      <c r="J43" s="22" t="s">
        <v>126</v>
      </c>
      <c r="K43" s="22"/>
      <c r="L43" s="23"/>
      <c r="M43" s="19"/>
      <c r="N43" s="20" t="s">
        <v>125</v>
      </c>
      <c r="O43" s="28">
        <f ca="1">IF(O41&gt;0,RANDBETWEEN(2,4),0)</f>
        <v>0</v>
      </c>
      <c r="P43" s="22" t="s">
        <v>126</v>
      </c>
      <c r="Q43" s="22"/>
      <c r="R43" s="23"/>
      <c r="S43" s="19"/>
      <c r="T43" s="20" t="s">
        <v>125</v>
      </c>
      <c r="U43" s="28">
        <f ca="1">IF(U41&gt;0,RANDBETWEEN(2,4),0)</f>
        <v>0</v>
      </c>
      <c r="V43" s="22" t="s">
        <v>126</v>
      </c>
      <c r="W43" s="22"/>
      <c r="X43" s="23"/>
      <c r="Y43" s="19"/>
      <c r="Z43" s="20" t="s">
        <v>125</v>
      </c>
      <c r="AA43" s="28">
        <f ca="1">IF(AA41&gt;0,RANDBETWEEN(2,4),0)</f>
        <v>0</v>
      </c>
      <c r="AB43" s="22" t="s">
        <v>126</v>
      </c>
      <c r="AC43" s="22"/>
      <c r="AD43" s="23"/>
      <c r="AE43" s="22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</row>
    <row r="44" s="1" customFormat="1" ht="36" customHeight="1" spans="1:45">
      <c r="A44" s="36"/>
      <c r="B44" s="37" t="s">
        <v>168</v>
      </c>
      <c r="C44" s="37"/>
      <c r="D44" s="37"/>
      <c r="E44" s="37"/>
      <c r="F44" s="38"/>
      <c r="G44" s="36"/>
      <c r="H44" s="37" t="s">
        <v>168</v>
      </c>
      <c r="I44" s="37"/>
      <c r="J44" s="37"/>
      <c r="K44" s="37"/>
      <c r="L44" s="38"/>
      <c r="M44" s="36"/>
      <c r="N44" s="37" t="s">
        <v>168</v>
      </c>
      <c r="O44" s="37"/>
      <c r="P44" s="37"/>
      <c r="Q44" s="37"/>
      <c r="R44" s="38"/>
      <c r="S44" s="36"/>
      <c r="T44" s="37" t="s">
        <v>168</v>
      </c>
      <c r="U44" s="37"/>
      <c r="V44" s="37"/>
      <c r="W44" s="37"/>
      <c r="X44" s="38"/>
      <c r="Y44" s="36"/>
      <c r="Z44" s="37" t="s">
        <v>168</v>
      </c>
      <c r="AA44" s="37"/>
      <c r="AB44" s="37"/>
      <c r="AC44" s="37"/>
      <c r="AD44" s="38"/>
      <c r="AE44" s="33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</row>
    <row r="45" s="1" customFormat="1" ht="42" customHeight="1" spans="1:45">
      <c r="A45" s="39"/>
      <c r="B45" s="40" t="s">
        <v>130</v>
      </c>
      <c r="C45" s="40"/>
      <c r="D45" s="41">
        <f>市场预测!M54</f>
        <v>2</v>
      </c>
      <c r="E45" s="41"/>
      <c r="F45" s="41"/>
      <c r="G45" s="42"/>
      <c r="H45" s="12" t="s">
        <v>131</v>
      </c>
      <c r="I45" s="12"/>
      <c r="J45" s="43">
        <v>8</v>
      </c>
      <c r="K45" s="43"/>
      <c r="L45" s="43"/>
      <c r="M45" s="42"/>
      <c r="N45" s="44" t="s">
        <v>132</v>
      </c>
      <c r="O45" s="44"/>
      <c r="P45" s="43">
        <v>1</v>
      </c>
      <c r="Q45" s="43"/>
      <c r="R45" s="43"/>
      <c r="S45" s="12" t="s">
        <v>133</v>
      </c>
      <c r="T45" s="12"/>
      <c r="U45" s="12"/>
      <c r="V45" s="45">
        <f ca="1">C27+I27+O27+AA27+C34+U27+O34+U34+I34+AA34+AA41+U41+O41+I41+C41</f>
        <v>6</v>
      </c>
      <c r="W45" s="45"/>
      <c r="X45" s="45"/>
      <c r="Y45" s="42"/>
      <c r="Z45" s="46"/>
      <c r="AA45" s="46"/>
      <c r="AB45" s="46"/>
      <c r="AC45" s="46"/>
      <c r="AD45" s="46"/>
      <c r="AE45" s="33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</row>
    <row r="46" s="1" customFormat="1" ht="36" customHeight="1" spans="1:45">
      <c r="A46" s="39"/>
      <c r="B46" s="40" t="s">
        <v>134</v>
      </c>
      <c r="C46" s="40"/>
      <c r="D46" s="43">
        <v>2</v>
      </c>
      <c r="E46" s="43"/>
      <c r="F46" s="43"/>
      <c r="G46" s="42"/>
      <c r="H46" s="40" t="s">
        <v>135</v>
      </c>
      <c r="I46" s="40"/>
      <c r="J46" s="43">
        <v>4</v>
      </c>
      <c r="K46" s="43"/>
      <c r="L46" s="43"/>
      <c r="M46" s="42"/>
      <c r="N46" s="47" t="s">
        <v>136</v>
      </c>
      <c r="O46" s="47"/>
      <c r="P46" s="41">
        <f ca="1">V45/市场预测!O14</f>
        <v>0.75</v>
      </c>
      <c r="Q46" s="41"/>
      <c r="R46" s="41"/>
      <c r="S46" s="12" t="s">
        <v>137</v>
      </c>
      <c r="T46" s="12"/>
      <c r="U46" s="12"/>
      <c r="V46" s="48">
        <f ca="1">C26+I26+O26+U26+AA26+C33+I33+O33+U33+AA33+C40+I40+O40+U40+AA40</f>
        <v>48</v>
      </c>
      <c r="W46" s="48"/>
      <c r="X46" s="48"/>
      <c r="Y46" s="42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</row>
    <row r="47" s="1" customFormat="1" ht="36" customHeight="1" spans="1:45">
      <c r="A47" s="3"/>
      <c r="B47" s="4"/>
      <c r="C47" s="4"/>
      <c r="D47" s="4"/>
      <c r="E47" s="4"/>
      <c r="F47" s="5"/>
      <c r="G47" s="3"/>
      <c r="H47" s="4"/>
      <c r="I47" s="4"/>
      <c r="J47" s="4"/>
      <c r="K47" s="4"/>
      <c r="L47" s="5"/>
      <c r="M47" s="3"/>
      <c r="N47" s="4"/>
      <c r="O47" s="4"/>
      <c r="P47" s="4"/>
      <c r="Q47" s="4"/>
      <c r="R47" s="5"/>
      <c r="S47" s="3"/>
      <c r="T47" s="4"/>
      <c r="U47" s="4"/>
      <c r="V47" s="4"/>
      <c r="W47" s="4"/>
      <c r="X47" s="5"/>
      <c r="Y47" s="3"/>
      <c r="Z47" s="4"/>
      <c r="AA47" s="4"/>
      <c r="AB47" s="4"/>
      <c r="AC47" s="4"/>
      <c r="AD47" s="5"/>
      <c r="AE47" s="6"/>
      <c r="AF47" s="50"/>
      <c r="AG47" s="51"/>
      <c r="AH47" s="50"/>
      <c r="AI47" s="49"/>
      <c r="AJ47" s="49"/>
      <c r="AK47" s="49"/>
      <c r="AL47" s="49"/>
      <c r="AM47" s="49"/>
      <c r="AN47" s="49"/>
      <c r="AO47" s="49"/>
      <c r="AP47" s="51"/>
      <c r="AQ47" s="49"/>
      <c r="AR47" s="49"/>
      <c r="AS47" s="49"/>
    </row>
    <row r="48" s="1" customFormat="1" ht="36" customHeight="1" spans="1:45">
      <c r="A48" s="11"/>
      <c r="B48" s="12" t="s">
        <v>86</v>
      </c>
      <c r="C48" s="12"/>
      <c r="D48" s="12"/>
      <c r="E48" s="12"/>
      <c r="F48" s="13"/>
      <c r="G48" s="11"/>
      <c r="H48" s="12" t="s">
        <v>86</v>
      </c>
      <c r="I48" s="12"/>
      <c r="J48" s="12"/>
      <c r="K48" s="12"/>
      <c r="L48" s="13"/>
      <c r="M48" s="11"/>
      <c r="N48" s="12" t="s">
        <v>86</v>
      </c>
      <c r="O48" s="12"/>
      <c r="P48" s="12"/>
      <c r="Q48" s="12"/>
      <c r="R48" s="13"/>
      <c r="S48" s="11"/>
      <c r="T48" s="12" t="s">
        <v>86</v>
      </c>
      <c r="U48" s="12"/>
      <c r="V48" s="12"/>
      <c r="W48" s="12"/>
      <c r="X48" s="13"/>
      <c r="Y48" s="11"/>
      <c r="Z48" s="12" t="s">
        <v>86</v>
      </c>
      <c r="AA48" s="12"/>
      <c r="AB48" s="12"/>
      <c r="AC48" s="12"/>
      <c r="AD48" s="13"/>
      <c r="AE48" s="14"/>
      <c r="AF48" s="50"/>
      <c r="AG48" s="49"/>
      <c r="AH48" s="52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="1" customFormat="1" ht="36" customHeight="1" spans="1:45">
      <c r="A49" s="19"/>
      <c r="B49" s="20" t="s">
        <v>120</v>
      </c>
      <c r="C49" s="21">
        <f ca="1">IF(C50&gt;0,J68*C50-P68*(C50-((D69+J69)/2)),0)</f>
        <v>30</v>
      </c>
      <c r="D49" s="22" t="s">
        <v>121</v>
      </c>
      <c r="E49" s="22"/>
      <c r="F49" s="23"/>
      <c r="G49" s="19"/>
      <c r="H49" s="20" t="s">
        <v>120</v>
      </c>
      <c r="I49" s="21">
        <f ca="1">IF(I50&gt;0,J68*I50-P68*(I50-((D69+J69)/2)),0)</f>
        <v>39</v>
      </c>
      <c r="J49" s="22" t="s">
        <v>121</v>
      </c>
      <c r="K49" s="22"/>
      <c r="L49" s="23"/>
      <c r="M49" s="19"/>
      <c r="N49" s="20" t="s">
        <v>120</v>
      </c>
      <c r="O49" s="21">
        <f ca="1">IF(O50&gt;0,J68*O50-P68*(O50-((D69+J69)/2)),0)</f>
        <v>30</v>
      </c>
      <c r="P49" s="22" t="s">
        <v>121</v>
      </c>
      <c r="Q49" s="22"/>
      <c r="R49" s="23"/>
      <c r="S49" s="19"/>
      <c r="T49" s="20" t="s">
        <v>120</v>
      </c>
      <c r="U49" s="21">
        <f ca="1">IF(U50&gt;0,J68*U50-P68*(U50-((D69+J69)/2)),0)</f>
        <v>30</v>
      </c>
      <c r="V49" s="22" t="s">
        <v>121</v>
      </c>
      <c r="W49" s="22"/>
      <c r="X49" s="23"/>
      <c r="Y49" s="19"/>
      <c r="Z49" s="20" t="s">
        <v>120</v>
      </c>
      <c r="AA49" s="21">
        <f ca="1">IF(AA50&gt;0,J68*AA50-P68*(AA50-((D69+J69)/2)),0)</f>
        <v>0</v>
      </c>
      <c r="AB49" s="22" t="s">
        <v>121</v>
      </c>
      <c r="AC49" s="22"/>
      <c r="AD49" s="23"/>
      <c r="AE49" s="22"/>
      <c r="AF49" s="50"/>
      <c r="AG49" s="51"/>
      <c r="AH49" s="49"/>
      <c r="AI49" s="49"/>
      <c r="AJ49" s="49"/>
      <c r="AK49" s="49"/>
      <c r="AL49" s="49"/>
      <c r="AM49" s="49"/>
      <c r="AN49" s="49"/>
      <c r="AO49" s="49"/>
      <c r="AP49" s="51"/>
      <c r="AQ49" s="49"/>
      <c r="AR49" s="49"/>
      <c r="AS49" s="49"/>
    </row>
    <row r="50" s="1" customFormat="1" ht="36" customHeight="1" spans="1:45">
      <c r="A50" s="19"/>
      <c r="B50" s="20" t="s">
        <v>123</v>
      </c>
      <c r="C50" s="27">
        <f ca="1">IF(D68&gt;=1,RANDBETWEEN(D69,J69),0)</f>
        <v>3</v>
      </c>
      <c r="D50" s="28"/>
      <c r="E50" s="29"/>
      <c r="F50" s="23"/>
      <c r="G50" s="19"/>
      <c r="H50" s="20" t="s">
        <v>123</v>
      </c>
      <c r="I50" s="27">
        <f ca="1">IF(D68&gt;=2,RANDBETWEEN(D69,J69),0)</f>
        <v>4</v>
      </c>
      <c r="J50" s="28"/>
      <c r="K50" s="29"/>
      <c r="L50" s="23"/>
      <c r="M50" s="19"/>
      <c r="N50" s="20" t="s">
        <v>123</v>
      </c>
      <c r="O50" s="27">
        <f ca="1">IF(D68&gt;=3,RANDBETWEEN(D69,J69),0)</f>
        <v>3</v>
      </c>
      <c r="P50" s="28"/>
      <c r="Q50" s="29"/>
      <c r="R50" s="23"/>
      <c r="S50" s="19"/>
      <c r="T50" s="20" t="s">
        <v>123</v>
      </c>
      <c r="U50" s="27">
        <f ca="1">IF(D68&gt;=4,RANDBETWEEN(D69,J69),0)</f>
        <v>3</v>
      </c>
      <c r="V50" s="28"/>
      <c r="W50" s="29"/>
      <c r="X50" s="23"/>
      <c r="Y50" s="19"/>
      <c r="Z50" s="20" t="s">
        <v>123</v>
      </c>
      <c r="AA50" s="27">
        <f ca="1">IF(D68&gt;=5,RANDBETWEEN(D69,J69),0)</f>
        <v>0</v>
      </c>
      <c r="AB50" s="28"/>
      <c r="AC50" s="29"/>
      <c r="AD50" s="23"/>
      <c r="AE50" s="22"/>
      <c r="AF50" s="50"/>
      <c r="AG50" s="51"/>
      <c r="AH50" s="49"/>
      <c r="AI50" s="49"/>
      <c r="AJ50" s="49"/>
      <c r="AK50" s="49"/>
      <c r="AL50" s="49"/>
      <c r="AM50" s="49"/>
      <c r="AN50" s="49"/>
      <c r="AO50" s="49"/>
      <c r="AP50" s="51"/>
      <c r="AQ50" s="49"/>
      <c r="AR50" s="49"/>
      <c r="AS50" s="49"/>
    </row>
    <row r="51" s="1" customFormat="1" ht="36" customHeight="1" spans="1:45">
      <c r="A51" s="19"/>
      <c r="B51" s="20" t="s">
        <v>124</v>
      </c>
      <c r="C51" s="30">
        <f ca="1">C49/C50</f>
        <v>10</v>
      </c>
      <c r="D51" s="22" t="s">
        <v>121</v>
      </c>
      <c r="E51" s="22"/>
      <c r="F51" s="23"/>
      <c r="G51" s="19"/>
      <c r="H51" s="20" t="s">
        <v>124</v>
      </c>
      <c r="I51" s="30">
        <f ca="1">I49/I50</f>
        <v>9.75</v>
      </c>
      <c r="J51" s="22" t="s">
        <v>121</v>
      </c>
      <c r="K51" s="22"/>
      <c r="L51" s="23"/>
      <c r="M51" s="19"/>
      <c r="N51" s="20" t="s">
        <v>124</v>
      </c>
      <c r="O51" s="30">
        <f ca="1">O49/O50</f>
        <v>10</v>
      </c>
      <c r="P51" s="22" t="s">
        <v>121</v>
      </c>
      <c r="Q51" s="22"/>
      <c r="R51" s="23"/>
      <c r="S51" s="19"/>
      <c r="T51" s="20" t="s">
        <v>124</v>
      </c>
      <c r="U51" s="30">
        <f ca="1">U49/U50</f>
        <v>10</v>
      </c>
      <c r="V51" s="22" t="s">
        <v>121</v>
      </c>
      <c r="W51" s="22"/>
      <c r="X51" s="23"/>
      <c r="Y51" s="19"/>
      <c r="Z51" s="20" t="s">
        <v>124</v>
      </c>
      <c r="AA51" s="30" t="e">
        <f ca="1">AA49/AA50</f>
        <v>#DIV/0!</v>
      </c>
      <c r="AB51" s="22" t="s">
        <v>121</v>
      </c>
      <c r="AC51" s="22"/>
      <c r="AD51" s="23"/>
      <c r="AE51" s="22"/>
      <c r="AF51" s="50"/>
      <c r="AG51" s="51"/>
      <c r="AH51" s="49"/>
      <c r="AI51" s="49"/>
      <c r="AJ51" s="49"/>
      <c r="AK51" s="49"/>
      <c r="AL51" s="49"/>
      <c r="AM51" s="49"/>
      <c r="AN51" s="49"/>
      <c r="AO51" s="49"/>
      <c r="AP51" s="51"/>
      <c r="AQ51" s="49"/>
      <c r="AR51" s="49"/>
      <c r="AS51" s="49"/>
    </row>
    <row r="52" s="1" customFormat="1" ht="36" customHeight="1" spans="1:45">
      <c r="A52" s="19"/>
      <c r="B52" s="20" t="s">
        <v>125</v>
      </c>
      <c r="C52" s="28">
        <f ca="1">IF(C50&gt;0,RANDBETWEEN(2,4),0)</f>
        <v>4</v>
      </c>
      <c r="D52" s="22" t="s">
        <v>126</v>
      </c>
      <c r="E52" s="22"/>
      <c r="F52" s="23"/>
      <c r="G52" s="19"/>
      <c r="H52" s="20" t="s">
        <v>125</v>
      </c>
      <c r="I52" s="28">
        <f ca="1">IF(I50&gt;0,RANDBETWEEN(2,4),0)</f>
        <v>3</v>
      </c>
      <c r="J52" s="22" t="s">
        <v>126</v>
      </c>
      <c r="K52" s="22"/>
      <c r="L52" s="23"/>
      <c r="M52" s="19"/>
      <c r="N52" s="20" t="s">
        <v>125</v>
      </c>
      <c r="O52" s="28">
        <f ca="1">IF(O50&gt;0,RANDBETWEEN(2,4),0)</f>
        <v>3</v>
      </c>
      <c r="P52" s="22" t="s">
        <v>126</v>
      </c>
      <c r="Q52" s="22"/>
      <c r="R52" s="23"/>
      <c r="S52" s="19"/>
      <c r="T52" s="20" t="s">
        <v>125</v>
      </c>
      <c r="U52" s="28">
        <f ca="1">IF(U50&gt;0,RANDBETWEEN(2,4),0)</f>
        <v>2</v>
      </c>
      <c r="V52" s="22" t="s">
        <v>126</v>
      </c>
      <c r="W52" s="22"/>
      <c r="X52" s="23"/>
      <c r="Y52" s="19"/>
      <c r="Z52" s="20" t="s">
        <v>125</v>
      </c>
      <c r="AA52" s="28">
        <f ca="1">IF(AA50&gt;0,RANDBETWEEN(2,4),0)</f>
        <v>0</v>
      </c>
      <c r="AB52" s="22" t="s">
        <v>126</v>
      </c>
      <c r="AC52" s="22"/>
      <c r="AD52" s="23"/>
      <c r="AE52" s="22"/>
      <c r="AF52" s="50"/>
      <c r="AG52" s="51"/>
      <c r="AH52" s="49"/>
      <c r="AI52" s="49"/>
      <c r="AJ52" s="49"/>
      <c r="AK52" s="49"/>
      <c r="AL52" s="49"/>
      <c r="AM52" s="49"/>
      <c r="AN52" s="49"/>
      <c r="AO52" s="49"/>
      <c r="AP52" s="51"/>
      <c r="AQ52" s="49"/>
      <c r="AR52" s="49"/>
      <c r="AS52" s="49"/>
    </row>
    <row r="53" s="1" customFormat="1" ht="36" customHeight="1" spans="1:45">
      <c r="A53" s="19"/>
      <c r="B53" s="31" t="s">
        <v>168</v>
      </c>
      <c r="C53" s="31"/>
      <c r="D53" s="31"/>
      <c r="E53" s="31"/>
      <c r="F53" s="32"/>
      <c r="G53" s="19"/>
      <c r="H53" s="31" t="s">
        <v>168</v>
      </c>
      <c r="I53" s="31"/>
      <c r="J53" s="31"/>
      <c r="K53" s="31"/>
      <c r="L53" s="32"/>
      <c r="M53" s="19"/>
      <c r="N53" s="31" t="s">
        <v>168</v>
      </c>
      <c r="O53" s="31"/>
      <c r="P53" s="31"/>
      <c r="Q53" s="31"/>
      <c r="R53" s="32"/>
      <c r="S53" s="19"/>
      <c r="T53" s="31" t="s">
        <v>168</v>
      </c>
      <c r="U53" s="31"/>
      <c r="V53" s="31"/>
      <c r="W53" s="31"/>
      <c r="X53" s="32"/>
      <c r="Y53" s="19"/>
      <c r="Z53" s="31" t="s">
        <v>168</v>
      </c>
      <c r="AA53" s="31"/>
      <c r="AB53" s="31"/>
      <c r="AC53" s="31"/>
      <c r="AD53" s="32"/>
      <c r="AE53" s="33"/>
      <c r="AF53" s="50"/>
      <c r="AG53" s="51"/>
      <c r="AH53" s="49"/>
      <c r="AI53" s="49"/>
      <c r="AJ53" s="49"/>
      <c r="AK53" s="49"/>
      <c r="AL53" s="49"/>
      <c r="AM53" s="49"/>
      <c r="AN53" s="49"/>
      <c r="AO53" s="49"/>
      <c r="AP53" s="51"/>
      <c r="AQ53" s="49"/>
      <c r="AR53" s="49"/>
      <c r="AS53" s="49"/>
    </row>
    <row r="54" s="1" customFormat="1" ht="36" customHeight="1" spans="1:45">
      <c r="A54" s="3"/>
      <c r="B54" s="4"/>
      <c r="C54" s="4"/>
      <c r="D54" s="4"/>
      <c r="E54" s="4"/>
      <c r="F54" s="5"/>
      <c r="G54" s="3"/>
      <c r="H54" s="4"/>
      <c r="I54" s="4"/>
      <c r="J54" s="4"/>
      <c r="K54" s="4"/>
      <c r="L54" s="5"/>
      <c r="M54" s="3"/>
      <c r="N54" s="4"/>
      <c r="O54" s="4"/>
      <c r="P54" s="4"/>
      <c r="Q54" s="4"/>
      <c r="R54" s="5"/>
      <c r="S54" s="3"/>
      <c r="T54" s="4"/>
      <c r="U54" s="4"/>
      <c r="V54" s="4"/>
      <c r="W54" s="4"/>
      <c r="X54" s="5"/>
      <c r="Y54" s="3"/>
      <c r="Z54" s="4"/>
      <c r="AA54" s="4"/>
      <c r="AB54" s="4"/>
      <c r="AC54" s="4"/>
      <c r="AD54" s="5"/>
      <c r="AE54" s="6"/>
      <c r="AF54" s="50"/>
      <c r="AG54" s="51"/>
      <c r="AH54" s="49"/>
      <c r="AI54" s="49"/>
      <c r="AJ54" s="49"/>
      <c r="AK54" s="49"/>
      <c r="AL54" s="49"/>
      <c r="AM54" s="49"/>
      <c r="AN54" s="49"/>
      <c r="AO54" s="49"/>
      <c r="AP54" s="51"/>
      <c r="AQ54" s="49"/>
      <c r="AR54" s="49"/>
      <c r="AS54" s="49"/>
    </row>
    <row r="55" s="1" customFormat="1" ht="36" customHeight="1" spans="1:45">
      <c r="A55" s="11"/>
      <c r="B55" s="12" t="s">
        <v>86</v>
      </c>
      <c r="C55" s="12"/>
      <c r="D55" s="12"/>
      <c r="E55" s="12"/>
      <c r="F55" s="13"/>
      <c r="G55" s="11"/>
      <c r="H55" s="12" t="s">
        <v>86</v>
      </c>
      <c r="I55" s="12"/>
      <c r="J55" s="12"/>
      <c r="K55" s="12"/>
      <c r="L55" s="13"/>
      <c r="M55" s="11"/>
      <c r="N55" s="12" t="s">
        <v>86</v>
      </c>
      <c r="O55" s="12"/>
      <c r="P55" s="12"/>
      <c r="Q55" s="12"/>
      <c r="R55" s="13"/>
      <c r="S55" s="11"/>
      <c r="T55" s="12" t="s">
        <v>86</v>
      </c>
      <c r="U55" s="12"/>
      <c r="V55" s="12"/>
      <c r="W55" s="12"/>
      <c r="X55" s="13"/>
      <c r="Y55" s="11"/>
      <c r="Z55" s="12" t="s">
        <v>86</v>
      </c>
      <c r="AA55" s="12"/>
      <c r="AB55" s="12"/>
      <c r="AC55" s="12"/>
      <c r="AD55" s="13"/>
      <c r="AE55" s="14"/>
      <c r="AF55" s="50"/>
      <c r="AG55" s="51"/>
      <c r="AH55" s="49"/>
      <c r="AI55" s="49"/>
      <c r="AJ55" s="49"/>
      <c r="AK55" s="49"/>
      <c r="AL55" s="49"/>
      <c r="AM55" s="49"/>
      <c r="AN55" s="49"/>
      <c r="AO55" s="49"/>
      <c r="AP55" s="51"/>
      <c r="AQ55" s="49"/>
      <c r="AR55" s="49"/>
      <c r="AS55" s="49"/>
    </row>
    <row r="56" s="1" customFormat="1" ht="36" customHeight="1" spans="1:45">
      <c r="A56" s="19"/>
      <c r="B56" s="20" t="s">
        <v>120</v>
      </c>
      <c r="C56" s="21">
        <f ca="1">IF(C57&gt;0,J68*C57-P68*(C57-((D69+J69)/2)),0)</f>
        <v>0</v>
      </c>
      <c r="D56" s="22" t="s">
        <v>121</v>
      </c>
      <c r="E56" s="22"/>
      <c r="F56" s="23"/>
      <c r="G56" s="19"/>
      <c r="H56" s="20" t="s">
        <v>120</v>
      </c>
      <c r="I56" s="21">
        <f ca="1">IF(I57&gt;0,J68*I57-P68*(I57-((D69+J69)/2)),0)</f>
        <v>0</v>
      </c>
      <c r="J56" s="22" t="s">
        <v>121</v>
      </c>
      <c r="K56" s="22"/>
      <c r="L56" s="23"/>
      <c r="M56" s="19"/>
      <c r="N56" s="20" t="s">
        <v>120</v>
      </c>
      <c r="O56" s="21">
        <f ca="1">IF(O57&gt;0,J68*O57-P68*(O57-((D69+J69)/2)),0)</f>
        <v>0</v>
      </c>
      <c r="P56" s="22" t="s">
        <v>121</v>
      </c>
      <c r="Q56" s="22"/>
      <c r="R56" s="23"/>
      <c r="S56" s="19"/>
      <c r="T56" s="20" t="s">
        <v>120</v>
      </c>
      <c r="U56" s="21">
        <f ca="1">IF(U57&gt;0,J68*U57-P68*(U57-((D69+J69)/2)),0)</f>
        <v>0</v>
      </c>
      <c r="V56" s="22" t="s">
        <v>121</v>
      </c>
      <c r="W56" s="22"/>
      <c r="X56" s="23"/>
      <c r="Y56" s="19"/>
      <c r="Z56" s="20" t="s">
        <v>120</v>
      </c>
      <c r="AA56" s="21">
        <f ca="1">IF(AA57&gt;0,J68*AA57-P68*(AA57-((D69+J69)/2)),0)</f>
        <v>0</v>
      </c>
      <c r="AB56" s="22" t="s">
        <v>121</v>
      </c>
      <c r="AC56" s="22"/>
      <c r="AD56" s="23"/>
      <c r="AE56" s="22"/>
      <c r="AF56" s="50"/>
      <c r="AG56" s="51"/>
      <c r="AH56" s="49"/>
      <c r="AI56" s="49"/>
      <c r="AJ56" s="49"/>
      <c r="AK56" s="49"/>
      <c r="AL56" s="49"/>
      <c r="AM56" s="49"/>
      <c r="AN56" s="49"/>
      <c r="AO56" s="49"/>
      <c r="AP56" s="51"/>
      <c r="AQ56" s="49"/>
      <c r="AR56" s="49"/>
      <c r="AS56" s="49"/>
    </row>
    <row r="57" s="1" customFormat="1" ht="36" customHeight="1" spans="1:45">
      <c r="A57" s="19"/>
      <c r="B57" s="20" t="s">
        <v>123</v>
      </c>
      <c r="C57" s="27">
        <f ca="1">IF(D68&gt;=6,RANDBETWEEN(D69,J69),0)</f>
        <v>0</v>
      </c>
      <c r="D57" s="28"/>
      <c r="E57" s="29"/>
      <c r="F57" s="23"/>
      <c r="G57" s="19"/>
      <c r="H57" s="20" t="s">
        <v>123</v>
      </c>
      <c r="I57" s="27">
        <f ca="1">IF(D68&gt;=7,RANDBETWEEN(D69,J69),0)</f>
        <v>0</v>
      </c>
      <c r="J57" s="28"/>
      <c r="K57" s="29"/>
      <c r="L57" s="23"/>
      <c r="M57" s="19"/>
      <c r="N57" s="20" t="s">
        <v>123</v>
      </c>
      <c r="O57" s="27">
        <f ca="1">IF(D68&gt;=8,RANDBETWEEN(D69,J69),0)</f>
        <v>0</v>
      </c>
      <c r="P57" s="28"/>
      <c r="Q57" s="29"/>
      <c r="R57" s="23"/>
      <c r="S57" s="19"/>
      <c r="T57" s="20" t="s">
        <v>123</v>
      </c>
      <c r="U57" s="27">
        <f ca="1">IF(D68&gt;=9,RANDBETWEEN(D69,J69),0)</f>
        <v>0</v>
      </c>
      <c r="V57" s="28"/>
      <c r="W57" s="29"/>
      <c r="X57" s="23"/>
      <c r="Y57" s="19"/>
      <c r="Z57" s="20" t="s">
        <v>123</v>
      </c>
      <c r="AA57" s="27">
        <f ca="1">IF(D68&gt;=10,RANDBETWEEN(D69,J69),0)</f>
        <v>0</v>
      </c>
      <c r="AB57" s="28"/>
      <c r="AC57" s="29"/>
      <c r="AD57" s="23"/>
      <c r="AE57" s="22"/>
      <c r="AF57" s="50"/>
      <c r="AG57" s="51"/>
      <c r="AH57" s="49"/>
      <c r="AI57" s="49"/>
      <c r="AJ57" s="49"/>
      <c r="AK57" s="49"/>
      <c r="AL57" s="49"/>
      <c r="AM57" s="49"/>
      <c r="AN57" s="49"/>
      <c r="AO57" s="49"/>
      <c r="AP57" s="51"/>
      <c r="AQ57" s="49"/>
      <c r="AR57" s="49"/>
      <c r="AS57" s="49"/>
    </row>
    <row r="58" s="1" customFormat="1" ht="36" customHeight="1" spans="1:45">
      <c r="A58" s="19"/>
      <c r="B58" s="20" t="s">
        <v>124</v>
      </c>
      <c r="C58" s="30" t="e">
        <f ca="1">C56/C57</f>
        <v>#DIV/0!</v>
      </c>
      <c r="D58" s="22" t="s">
        <v>121</v>
      </c>
      <c r="E58" s="22"/>
      <c r="F58" s="23"/>
      <c r="G58" s="19"/>
      <c r="H58" s="20" t="s">
        <v>124</v>
      </c>
      <c r="I58" s="30" t="e">
        <f ca="1">I56/I57</f>
        <v>#DIV/0!</v>
      </c>
      <c r="J58" s="22" t="s">
        <v>121</v>
      </c>
      <c r="K58" s="22"/>
      <c r="L58" s="23"/>
      <c r="M58" s="19"/>
      <c r="N58" s="20" t="s">
        <v>124</v>
      </c>
      <c r="O58" s="30" t="e">
        <f ca="1">O56/O57</f>
        <v>#DIV/0!</v>
      </c>
      <c r="P58" s="22" t="s">
        <v>121</v>
      </c>
      <c r="Q58" s="22"/>
      <c r="R58" s="23"/>
      <c r="S58" s="19"/>
      <c r="T58" s="20" t="s">
        <v>124</v>
      </c>
      <c r="U58" s="30" t="e">
        <f ca="1">U56/U57</f>
        <v>#DIV/0!</v>
      </c>
      <c r="V58" s="22" t="s">
        <v>121</v>
      </c>
      <c r="W58" s="22"/>
      <c r="X58" s="23"/>
      <c r="Y58" s="19"/>
      <c r="Z58" s="20" t="s">
        <v>124</v>
      </c>
      <c r="AA58" s="30" t="e">
        <f ca="1">AA56/AA57</f>
        <v>#DIV/0!</v>
      </c>
      <c r="AB58" s="22" t="s">
        <v>121</v>
      </c>
      <c r="AC58" s="22"/>
      <c r="AD58" s="23"/>
      <c r="AE58" s="22"/>
      <c r="AF58" s="50"/>
      <c r="AG58" s="51"/>
      <c r="AH58" s="49"/>
      <c r="AI58" s="49"/>
      <c r="AJ58" s="49"/>
      <c r="AK58" s="49"/>
      <c r="AL58" s="49"/>
      <c r="AM58" s="49"/>
      <c r="AN58" s="49"/>
      <c r="AO58" s="49"/>
      <c r="AP58" s="51"/>
      <c r="AQ58" s="49"/>
      <c r="AR58" s="49"/>
      <c r="AS58" s="49"/>
    </row>
    <row r="59" s="1" customFormat="1" ht="36" customHeight="1" spans="1:45">
      <c r="A59" s="19"/>
      <c r="B59" s="20" t="s">
        <v>125</v>
      </c>
      <c r="C59" s="28">
        <f ca="1">IF(C57&gt;0,RANDBETWEEN(2,4),0)</f>
        <v>0</v>
      </c>
      <c r="D59" s="22" t="s">
        <v>126</v>
      </c>
      <c r="E59" s="22"/>
      <c r="F59" s="23"/>
      <c r="G59" s="19"/>
      <c r="H59" s="20" t="s">
        <v>125</v>
      </c>
      <c r="I59" s="28">
        <f ca="1">IF(I57&gt;0,RANDBETWEEN(2,4),0)</f>
        <v>0</v>
      </c>
      <c r="J59" s="22" t="s">
        <v>126</v>
      </c>
      <c r="K59" s="22"/>
      <c r="L59" s="23"/>
      <c r="M59" s="19"/>
      <c r="N59" s="20" t="s">
        <v>125</v>
      </c>
      <c r="O59" s="28">
        <f ca="1">IF(O57&gt;0,RANDBETWEEN(2,4),0)</f>
        <v>0</v>
      </c>
      <c r="P59" s="22" t="s">
        <v>126</v>
      </c>
      <c r="Q59" s="22"/>
      <c r="R59" s="23"/>
      <c r="S59" s="19"/>
      <c r="T59" s="20" t="s">
        <v>125</v>
      </c>
      <c r="U59" s="28">
        <f ca="1">IF(U57&gt;0,RANDBETWEEN(2,4),0)</f>
        <v>0</v>
      </c>
      <c r="V59" s="22" t="s">
        <v>126</v>
      </c>
      <c r="W59" s="22"/>
      <c r="X59" s="23"/>
      <c r="Y59" s="19"/>
      <c r="Z59" s="20" t="s">
        <v>125</v>
      </c>
      <c r="AA59" s="28">
        <f ca="1">IF(AA57&gt;0,RANDBETWEEN(2,4),0)</f>
        <v>0</v>
      </c>
      <c r="AB59" s="22" t="s">
        <v>126</v>
      </c>
      <c r="AC59" s="22"/>
      <c r="AD59" s="23"/>
      <c r="AE59" s="22"/>
      <c r="AF59" s="50"/>
      <c r="AG59" s="51"/>
      <c r="AH59" s="49"/>
      <c r="AI59" s="49"/>
      <c r="AJ59" s="49"/>
      <c r="AK59" s="49"/>
      <c r="AL59" s="49"/>
      <c r="AM59" s="49"/>
      <c r="AN59" s="49"/>
      <c r="AO59" s="49"/>
      <c r="AP59" s="51"/>
      <c r="AQ59" s="49"/>
      <c r="AR59" s="49"/>
      <c r="AS59" s="49"/>
    </row>
    <row r="60" s="1" customFormat="1" ht="36" customHeight="1" spans="1:45">
      <c r="A60" s="19"/>
      <c r="B60" s="31" t="s">
        <v>168</v>
      </c>
      <c r="C60" s="31"/>
      <c r="D60" s="31"/>
      <c r="E60" s="31"/>
      <c r="F60" s="32"/>
      <c r="G60" s="19"/>
      <c r="H60" s="31" t="s">
        <v>168</v>
      </c>
      <c r="I60" s="31"/>
      <c r="J60" s="31"/>
      <c r="K60" s="31"/>
      <c r="L60" s="32"/>
      <c r="M60" s="19"/>
      <c r="N60" s="31" t="s">
        <v>168</v>
      </c>
      <c r="O60" s="31"/>
      <c r="P60" s="31"/>
      <c r="Q60" s="31"/>
      <c r="R60" s="32"/>
      <c r="S60" s="19"/>
      <c r="T60" s="31" t="s">
        <v>168</v>
      </c>
      <c r="U60" s="31"/>
      <c r="V60" s="31"/>
      <c r="W60" s="31"/>
      <c r="X60" s="32"/>
      <c r="Y60" s="19"/>
      <c r="Z60" s="31" t="s">
        <v>168</v>
      </c>
      <c r="AA60" s="31"/>
      <c r="AB60" s="31"/>
      <c r="AC60" s="31"/>
      <c r="AD60" s="32"/>
      <c r="AE60" s="33"/>
      <c r="AF60" s="50"/>
      <c r="AG60" s="51"/>
      <c r="AH60" s="49"/>
      <c r="AI60" s="49"/>
      <c r="AJ60" s="49"/>
      <c r="AK60" s="49"/>
      <c r="AL60" s="49"/>
      <c r="AM60" s="49"/>
      <c r="AN60" s="49"/>
      <c r="AO60" s="49"/>
      <c r="AP60" s="51"/>
      <c r="AQ60" s="49"/>
      <c r="AR60" s="49"/>
      <c r="AS60" s="49"/>
    </row>
    <row r="61" s="1" customFormat="1" ht="36" customHeight="1" spans="1:45">
      <c r="A61" s="3"/>
      <c r="B61" s="4"/>
      <c r="C61" s="4"/>
      <c r="D61" s="4"/>
      <c r="E61" s="4"/>
      <c r="F61" s="5"/>
      <c r="G61" s="3"/>
      <c r="H61" s="4"/>
      <c r="I61" s="4"/>
      <c r="J61" s="4"/>
      <c r="K61" s="4"/>
      <c r="L61" s="5"/>
      <c r="M61" s="3"/>
      <c r="N61" s="4"/>
      <c r="O61" s="4"/>
      <c r="P61" s="4"/>
      <c r="Q61" s="4"/>
      <c r="R61" s="5"/>
      <c r="S61" s="3"/>
      <c r="T61" s="4"/>
      <c r="U61" s="4"/>
      <c r="V61" s="4"/>
      <c r="W61" s="4"/>
      <c r="X61" s="5"/>
      <c r="Y61" s="3"/>
      <c r="Z61" s="4"/>
      <c r="AA61" s="4"/>
      <c r="AB61" s="4"/>
      <c r="AC61" s="4"/>
      <c r="AD61" s="5"/>
      <c r="AE61" s="6"/>
      <c r="AF61" s="50"/>
      <c r="AG61" s="51"/>
      <c r="AH61" s="49"/>
      <c r="AI61" s="49"/>
      <c r="AJ61" s="49"/>
      <c r="AK61" s="49"/>
      <c r="AL61" s="49"/>
      <c r="AM61" s="49"/>
      <c r="AN61" s="49"/>
      <c r="AO61" s="49"/>
      <c r="AP61" s="51"/>
      <c r="AQ61" s="49"/>
      <c r="AR61" s="49"/>
      <c r="AS61" s="49"/>
    </row>
    <row r="62" s="1" customFormat="1" ht="36" customHeight="1" spans="1:45">
      <c r="A62" s="11"/>
      <c r="B62" s="12" t="s">
        <v>86</v>
      </c>
      <c r="C62" s="12"/>
      <c r="D62" s="12"/>
      <c r="E62" s="12"/>
      <c r="F62" s="13"/>
      <c r="G62" s="11"/>
      <c r="H62" s="12" t="s">
        <v>86</v>
      </c>
      <c r="I62" s="12"/>
      <c r="J62" s="12"/>
      <c r="K62" s="12"/>
      <c r="L62" s="13"/>
      <c r="M62" s="11"/>
      <c r="N62" s="12" t="s">
        <v>86</v>
      </c>
      <c r="O62" s="12"/>
      <c r="P62" s="12"/>
      <c r="Q62" s="12"/>
      <c r="R62" s="13"/>
      <c r="S62" s="11"/>
      <c r="T62" s="12" t="s">
        <v>86</v>
      </c>
      <c r="U62" s="12"/>
      <c r="V62" s="12"/>
      <c r="W62" s="12"/>
      <c r="X62" s="13"/>
      <c r="Y62" s="11"/>
      <c r="Z62" s="12" t="s">
        <v>86</v>
      </c>
      <c r="AA62" s="12"/>
      <c r="AB62" s="12"/>
      <c r="AC62" s="12"/>
      <c r="AD62" s="13"/>
      <c r="AE62" s="14"/>
      <c r="AF62" s="50"/>
      <c r="AG62" s="51"/>
      <c r="AH62" s="49"/>
      <c r="AI62" s="49"/>
      <c r="AJ62" s="49"/>
      <c r="AK62" s="49"/>
      <c r="AL62" s="49"/>
      <c r="AM62" s="49"/>
      <c r="AN62" s="49"/>
      <c r="AO62" s="49"/>
      <c r="AP62" s="51"/>
      <c r="AQ62" s="49"/>
      <c r="AR62" s="49"/>
      <c r="AS62" s="49"/>
    </row>
    <row r="63" s="1" customFormat="1" ht="36" customHeight="1" spans="1:45">
      <c r="A63" s="19"/>
      <c r="B63" s="20" t="s">
        <v>120</v>
      </c>
      <c r="C63" s="21">
        <f ca="1">IF(C64&gt;0,J68*C64-P68*(C64-((D69+J69)/2)),0)</f>
        <v>0</v>
      </c>
      <c r="D63" s="22" t="s">
        <v>121</v>
      </c>
      <c r="E63" s="22"/>
      <c r="F63" s="23"/>
      <c r="G63" s="19"/>
      <c r="H63" s="20" t="s">
        <v>120</v>
      </c>
      <c r="I63" s="21">
        <f ca="1">IF(I64&gt;0,J68*I64-P68*(I64-((D69+J69)/2)),0)</f>
        <v>0</v>
      </c>
      <c r="J63" s="22" t="s">
        <v>121</v>
      </c>
      <c r="K63" s="22"/>
      <c r="L63" s="23"/>
      <c r="M63" s="19"/>
      <c r="N63" s="20" t="s">
        <v>120</v>
      </c>
      <c r="O63" s="21">
        <f ca="1">IF(O64&gt;0,J68*O64-P68*(O64-((D69+J69)/2)),0)</f>
        <v>0</v>
      </c>
      <c r="P63" s="22" t="s">
        <v>121</v>
      </c>
      <c r="Q63" s="22"/>
      <c r="R63" s="23"/>
      <c r="S63" s="19"/>
      <c r="T63" s="20" t="s">
        <v>120</v>
      </c>
      <c r="U63" s="21">
        <f ca="1">IF(U64&gt;0,J68*U64-P68*(U64-((D69+J69)/2)),0)</f>
        <v>0</v>
      </c>
      <c r="V63" s="22" t="s">
        <v>121</v>
      </c>
      <c r="W63" s="22"/>
      <c r="X63" s="23"/>
      <c r="Y63" s="19"/>
      <c r="Z63" s="20" t="s">
        <v>120</v>
      </c>
      <c r="AA63" s="21">
        <f ca="1">IF(AA64&gt;0,J68*AA64-P68*(AA64-((D69+J69)/2)),0)</f>
        <v>0</v>
      </c>
      <c r="AB63" s="22" t="s">
        <v>121</v>
      </c>
      <c r="AC63" s="22"/>
      <c r="AD63" s="23"/>
      <c r="AE63" s="22"/>
      <c r="AF63" s="50"/>
      <c r="AG63" s="51"/>
      <c r="AH63" s="49"/>
      <c r="AI63" s="49"/>
      <c r="AJ63" s="49"/>
      <c r="AK63" s="49"/>
      <c r="AL63" s="49"/>
      <c r="AM63" s="49"/>
      <c r="AN63" s="49"/>
      <c r="AO63" s="49"/>
      <c r="AP63" s="51"/>
      <c r="AQ63" s="49"/>
      <c r="AR63" s="49"/>
      <c r="AS63" s="49"/>
    </row>
    <row r="64" s="1" customFormat="1" ht="36" customHeight="1" spans="1:45">
      <c r="A64" s="19"/>
      <c r="B64" s="20" t="s">
        <v>123</v>
      </c>
      <c r="C64" s="27">
        <f ca="1">IF(D68&gt;=11,RANDBETWEEN(D69,J69),0)</f>
        <v>0</v>
      </c>
      <c r="D64" s="28"/>
      <c r="E64" s="29"/>
      <c r="F64" s="23"/>
      <c r="G64" s="19"/>
      <c r="H64" s="20" t="s">
        <v>123</v>
      </c>
      <c r="I64" s="27">
        <f ca="1">IF(D68&gt;=12,RANDBETWEEN(D69,J69),0)</f>
        <v>0</v>
      </c>
      <c r="J64" s="28"/>
      <c r="K64" s="29"/>
      <c r="L64" s="23"/>
      <c r="M64" s="19"/>
      <c r="N64" s="20" t="s">
        <v>123</v>
      </c>
      <c r="O64" s="27">
        <f ca="1">IF(D68&gt;=13,RANDBETWEEN(D69,J69),0)</f>
        <v>0</v>
      </c>
      <c r="P64" s="28"/>
      <c r="Q64" s="29"/>
      <c r="R64" s="23"/>
      <c r="S64" s="19"/>
      <c r="T64" s="20" t="s">
        <v>123</v>
      </c>
      <c r="U64" s="27">
        <f ca="1">IF(D68&gt;=14,RANDBETWEEN(D69,J69),0)</f>
        <v>0</v>
      </c>
      <c r="V64" s="28"/>
      <c r="W64" s="29"/>
      <c r="X64" s="23"/>
      <c r="Y64" s="19"/>
      <c r="Z64" s="20" t="s">
        <v>123</v>
      </c>
      <c r="AA64" s="27">
        <f ca="1">IF(D68&gt;=15,RANDBETWEEN(D69,J69),0)</f>
        <v>0</v>
      </c>
      <c r="AB64" s="28"/>
      <c r="AC64" s="29"/>
      <c r="AD64" s="23"/>
      <c r="AE64" s="22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</row>
    <row r="65" s="1" customFormat="1" ht="36" customHeight="1" spans="1:45">
      <c r="A65" s="19"/>
      <c r="B65" s="20" t="s">
        <v>124</v>
      </c>
      <c r="C65" s="30" t="e">
        <f ca="1">C63/C64</f>
        <v>#DIV/0!</v>
      </c>
      <c r="D65" s="22" t="s">
        <v>121</v>
      </c>
      <c r="E65" s="22"/>
      <c r="F65" s="23"/>
      <c r="G65" s="19"/>
      <c r="H65" s="20" t="s">
        <v>124</v>
      </c>
      <c r="I65" s="30" t="e">
        <f ca="1">I63/I64</f>
        <v>#DIV/0!</v>
      </c>
      <c r="J65" s="22" t="s">
        <v>121</v>
      </c>
      <c r="K65" s="22"/>
      <c r="L65" s="23"/>
      <c r="M65" s="19"/>
      <c r="N65" s="20" t="s">
        <v>124</v>
      </c>
      <c r="O65" s="30" t="e">
        <f ca="1">O63/O64</f>
        <v>#DIV/0!</v>
      </c>
      <c r="P65" s="22" t="s">
        <v>121</v>
      </c>
      <c r="Q65" s="22"/>
      <c r="R65" s="23"/>
      <c r="S65" s="19"/>
      <c r="T65" s="20" t="s">
        <v>124</v>
      </c>
      <c r="U65" s="30" t="e">
        <f ca="1">U63/U64</f>
        <v>#DIV/0!</v>
      </c>
      <c r="V65" s="22" t="s">
        <v>121</v>
      </c>
      <c r="W65" s="22"/>
      <c r="X65" s="23"/>
      <c r="Y65" s="19"/>
      <c r="Z65" s="20" t="s">
        <v>124</v>
      </c>
      <c r="AA65" s="30" t="e">
        <f ca="1">AA63/AA64</f>
        <v>#DIV/0!</v>
      </c>
      <c r="AB65" s="22" t="s">
        <v>121</v>
      </c>
      <c r="AC65" s="22"/>
      <c r="AD65" s="23"/>
      <c r="AE65" s="22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</row>
    <row r="66" s="1" customFormat="1" ht="36" customHeight="1" spans="1:45">
      <c r="A66" s="19"/>
      <c r="B66" s="20" t="s">
        <v>125</v>
      </c>
      <c r="C66" s="28">
        <f ca="1">IF(C64&gt;0,RANDBETWEEN(2,4),0)</f>
        <v>0</v>
      </c>
      <c r="D66" s="22" t="s">
        <v>126</v>
      </c>
      <c r="E66" s="22"/>
      <c r="F66" s="23"/>
      <c r="G66" s="19"/>
      <c r="H66" s="20" t="s">
        <v>125</v>
      </c>
      <c r="I66" s="28">
        <f ca="1">IF(I64&gt;0,RANDBETWEEN(2,4),0)</f>
        <v>0</v>
      </c>
      <c r="J66" s="22" t="s">
        <v>126</v>
      </c>
      <c r="K66" s="22"/>
      <c r="L66" s="23"/>
      <c r="M66" s="19"/>
      <c r="N66" s="20" t="s">
        <v>125</v>
      </c>
      <c r="O66" s="28">
        <f ca="1">IF(O64&gt;0,RANDBETWEEN(2,4),0)</f>
        <v>0</v>
      </c>
      <c r="P66" s="22" t="s">
        <v>126</v>
      </c>
      <c r="Q66" s="22"/>
      <c r="R66" s="23"/>
      <c r="S66" s="19"/>
      <c r="T66" s="20" t="s">
        <v>125</v>
      </c>
      <c r="U66" s="28">
        <f ca="1">IF(U64&gt;0,RANDBETWEEN(2,4),0)</f>
        <v>0</v>
      </c>
      <c r="V66" s="22" t="s">
        <v>126</v>
      </c>
      <c r="W66" s="22"/>
      <c r="X66" s="23"/>
      <c r="Y66" s="19"/>
      <c r="Z66" s="20" t="s">
        <v>125</v>
      </c>
      <c r="AA66" s="28">
        <f ca="1">IF(AA64&gt;0,RANDBETWEEN(2,4),0)</f>
        <v>0</v>
      </c>
      <c r="AB66" s="22" t="s">
        <v>126</v>
      </c>
      <c r="AC66" s="22"/>
      <c r="AD66" s="23"/>
      <c r="AE66" s="22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</row>
    <row r="67" s="1" customFormat="1" ht="36" customHeight="1" spans="1:45">
      <c r="A67" s="36"/>
      <c r="B67" s="37" t="s">
        <v>168</v>
      </c>
      <c r="C67" s="37"/>
      <c r="D67" s="37"/>
      <c r="E67" s="37"/>
      <c r="F67" s="38"/>
      <c r="G67" s="36"/>
      <c r="H67" s="37" t="s">
        <v>168</v>
      </c>
      <c r="I67" s="37"/>
      <c r="J67" s="37"/>
      <c r="K67" s="37"/>
      <c r="L67" s="38"/>
      <c r="M67" s="36"/>
      <c r="N67" s="37" t="s">
        <v>168</v>
      </c>
      <c r="O67" s="37"/>
      <c r="P67" s="37"/>
      <c r="Q67" s="37"/>
      <c r="R67" s="38"/>
      <c r="S67" s="36"/>
      <c r="T67" s="37" t="s">
        <v>168</v>
      </c>
      <c r="U67" s="37"/>
      <c r="V67" s="37"/>
      <c r="W67" s="37"/>
      <c r="X67" s="38"/>
      <c r="Y67" s="36"/>
      <c r="Z67" s="37" t="s">
        <v>168</v>
      </c>
      <c r="AA67" s="37"/>
      <c r="AB67" s="37"/>
      <c r="AC67" s="37"/>
      <c r="AD67" s="38"/>
      <c r="AE67" s="33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</row>
    <row r="68" s="1" customFormat="1" ht="31" customHeight="1" spans="1:45">
      <c r="A68" s="39"/>
      <c r="B68" s="40" t="s">
        <v>130</v>
      </c>
      <c r="C68" s="40"/>
      <c r="D68" s="41">
        <f>市场预测!N54</f>
        <v>4</v>
      </c>
      <c r="E68" s="41"/>
      <c r="F68" s="41"/>
      <c r="G68" s="42"/>
      <c r="H68" s="12" t="s">
        <v>131</v>
      </c>
      <c r="I68" s="12"/>
      <c r="J68" s="43">
        <v>10</v>
      </c>
      <c r="K68" s="43"/>
      <c r="L68" s="43"/>
      <c r="M68" s="42"/>
      <c r="N68" s="44" t="s">
        <v>132</v>
      </c>
      <c r="O68" s="44"/>
      <c r="P68" s="43">
        <v>1</v>
      </c>
      <c r="Q68" s="43"/>
      <c r="R68" s="43"/>
      <c r="S68" s="12" t="s">
        <v>133</v>
      </c>
      <c r="T68" s="12"/>
      <c r="U68" s="12"/>
      <c r="V68" s="45">
        <f ca="1">C50+I50+O50+AA50+C57+U50+O57+U57+I57+AA57+AA64+U64+O64+I64+C64</f>
        <v>13</v>
      </c>
      <c r="W68" s="45"/>
      <c r="X68" s="45"/>
      <c r="Y68" s="42"/>
      <c r="Z68" s="46"/>
      <c r="AA68" s="46"/>
      <c r="AB68" s="46"/>
      <c r="AC68" s="46"/>
      <c r="AD68" s="46"/>
      <c r="AE68" s="33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</row>
    <row r="69" s="1" customFormat="1" ht="36" customHeight="1" spans="1:45">
      <c r="A69" s="39"/>
      <c r="B69" s="40" t="s">
        <v>134</v>
      </c>
      <c r="C69" s="40"/>
      <c r="D69" s="43">
        <v>2</v>
      </c>
      <c r="E69" s="43"/>
      <c r="F69" s="43"/>
      <c r="G69" s="42"/>
      <c r="H69" s="40" t="s">
        <v>135</v>
      </c>
      <c r="I69" s="40"/>
      <c r="J69" s="43">
        <v>4</v>
      </c>
      <c r="K69" s="43"/>
      <c r="L69" s="43"/>
      <c r="M69" s="42"/>
      <c r="N69" s="47" t="s">
        <v>136</v>
      </c>
      <c r="O69" s="47"/>
      <c r="P69" s="41">
        <f ca="1">V68/市场预测!O14</f>
        <v>1.625</v>
      </c>
      <c r="Q69" s="41"/>
      <c r="R69" s="41"/>
      <c r="S69" s="12" t="s">
        <v>137</v>
      </c>
      <c r="T69" s="12"/>
      <c r="U69" s="12"/>
      <c r="V69" s="48">
        <f ca="1">C49+I49+O49+U49+AA49+C56+I56+O56+U56+AA56+C63+I63+O63+U63+AA63</f>
        <v>129</v>
      </c>
      <c r="W69" s="48"/>
      <c r="X69" s="48"/>
      <c r="Y69" s="42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</row>
    <row r="70" s="1" customFormat="1" ht="36" customHeight="1" spans="1:45">
      <c r="A70" s="3"/>
      <c r="B70" s="4"/>
      <c r="C70" s="4"/>
      <c r="D70" s="4"/>
      <c r="E70" s="4"/>
      <c r="F70" s="5"/>
      <c r="G70" s="3"/>
      <c r="H70" s="4"/>
      <c r="I70" s="4"/>
      <c r="J70" s="4"/>
      <c r="K70" s="4"/>
      <c r="L70" s="5"/>
      <c r="M70" s="3"/>
      <c r="N70" s="4"/>
      <c r="O70" s="4"/>
      <c r="P70" s="4"/>
      <c r="Q70" s="4"/>
      <c r="R70" s="5"/>
      <c r="S70" s="3"/>
      <c r="T70" s="4"/>
      <c r="U70" s="4"/>
      <c r="V70" s="4"/>
      <c r="W70" s="4"/>
      <c r="X70" s="5"/>
      <c r="Y70" s="3"/>
      <c r="Z70" s="4"/>
      <c r="AA70" s="4"/>
      <c r="AB70" s="4"/>
      <c r="AC70" s="4"/>
      <c r="AD70" s="5"/>
      <c r="AE70" s="6"/>
      <c r="AF70" s="50"/>
      <c r="AG70" s="51"/>
      <c r="AH70" s="50"/>
      <c r="AI70" s="49"/>
      <c r="AJ70" s="49"/>
      <c r="AK70" s="49"/>
      <c r="AL70" s="49"/>
      <c r="AM70" s="49"/>
      <c r="AN70" s="49"/>
      <c r="AO70" s="49"/>
      <c r="AP70" s="51"/>
      <c r="AQ70" s="49"/>
      <c r="AR70" s="49"/>
      <c r="AS70" s="49"/>
    </row>
    <row r="71" s="1" customFormat="1" ht="36" customHeight="1" spans="1:45">
      <c r="A71" s="11"/>
      <c r="B71" s="12" t="s">
        <v>87</v>
      </c>
      <c r="C71" s="12"/>
      <c r="D71" s="12"/>
      <c r="E71" s="12"/>
      <c r="F71" s="13"/>
      <c r="G71" s="11"/>
      <c r="H71" s="12" t="s">
        <v>87</v>
      </c>
      <c r="I71" s="12"/>
      <c r="J71" s="12"/>
      <c r="K71" s="12"/>
      <c r="L71" s="13"/>
      <c r="M71" s="11"/>
      <c r="N71" s="12" t="s">
        <v>87</v>
      </c>
      <c r="O71" s="12"/>
      <c r="P71" s="12"/>
      <c r="Q71" s="12"/>
      <c r="R71" s="13"/>
      <c r="S71" s="11"/>
      <c r="T71" s="12" t="s">
        <v>87</v>
      </c>
      <c r="U71" s="12"/>
      <c r="V71" s="12"/>
      <c r="W71" s="12"/>
      <c r="X71" s="13"/>
      <c r="Y71" s="11"/>
      <c r="Z71" s="12" t="s">
        <v>87</v>
      </c>
      <c r="AA71" s="12"/>
      <c r="AB71" s="12"/>
      <c r="AC71" s="12"/>
      <c r="AD71" s="13"/>
      <c r="AE71" s="14"/>
      <c r="AF71" s="50"/>
      <c r="AG71" s="49"/>
      <c r="AH71" s="52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</row>
    <row r="72" s="1" customFormat="1" ht="36" customHeight="1" spans="1:45">
      <c r="A72" s="19"/>
      <c r="B72" s="20" t="s">
        <v>120</v>
      </c>
      <c r="C72" s="21">
        <f ca="1">IF(C73&gt;0,J91*C73-P91*(C73-((D92+J92)/2)),0)</f>
        <v>39</v>
      </c>
      <c r="D72" s="22" t="s">
        <v>121</v>
      </c>
      <c r="E72" s="22"/>
      <c r="F72" s="23"/>
      <c r="G72" s="19"/>
      <c r="H72" s="20" t="s">
        <v>120</v>
      </c>
      <c r="I72" s="21">
        <f ca="1">IF(I73&gt;0,J91*I73-P91*(I73-((D92+J92)/2)),0)</f>
        <v>27</v>
      </c>
      <c r="J72" s="22" t="s">
        <v>121</v>
      </c>
      <c r="K72" s="22"/>
      <c r="L72" s="23"/>
      <c r="M72" s="19"/>
      <c r="N72" s="20" t="s">
        <v>120</v>
      </c>
      <c r="O72" s="21">
        <f ca="1">IF(O73&gt;0,J91*O73-P91*(O73-((D92+J92)/2)),0)</f>
        <v>27</v>
      </c>
      <c r="P72" s="22" t="s">
        <v>121</v>
      </c>
      <c r="Q72" s="22"/>
      <c r="R72" s="23"/>
      <c r="S72" s="19"/>
      <c r="T72" s="20" t="s">
        <v>120</v>
      </c>
      <c r="U72" s="21">
        <f ca="1">IF(U73&gt;0,J91*U73-P91*(U73-((D92+J92)/2)),0)</f>
        <v>27</v>
      </c>
      <c r="V72" s="22" t="s">
        <v>121</v>
      </c>
      <c r="W72" s="22"/>
      <c r="X72" s="23"/>
      <c r="Y72" s="19"/>
      <c r="Z72" s="20" t="s">
        <v>120</v>
      </c>
      <c r="AA72" s="21">
        <f ca="1">IF(AA73&gt;0,J91*AA73-P91*(AA73-((D92+J92)/2)),0)</f>
        <v>0</v>
      </c>
      <c r="AB72" s="22" t="s">
        <v>121</v>
      </c>
      <c r="AC72" s="22"/>
      <c r="AD72" s="23"/>
      <c r="AE72" s="22"/>
      <c r="AF72" s="50"/>
      <c r="AG72" s="51"/>
      <c r="AH72" s="49"/>
      <c r="AI72" s="49"/>
      <c r="AJ72" s="49"/>
      <c r="AK72" s="49"/>
      <c r="AL72" s="49"/>
      <c r="AM72" s="49"/>
      <c r="AN72" s="49"/>
      <c r="AO72" s="49"/>
      <c r="AP72" s="51"/>
      <c r="AQ72" s="49"/>
      <c r="AR72" s="49"/>
      <c r="AS72" s="49"/>
    </row>
    <row r="73" s="1" customFormat="1" ht="36" customHeight="1" spans="1:45">
      <c r="A73" s="19"/>
      <c r="B73" s="20" t="s">
        <v>123</v>
      </c>
      <c r="C73" s="27">
        <f ca="1">IF(D91&gt;=1,RANDBETWEEN(D92,J92),0)</f>
        <v>3</v>
      </c>
      <c r="D73" s="28"/>
      <c r="E73" s="29"/>
      <c r="F73" s="23"/>
      <c r="G73" s="19"/>
      <c r="H73" s="20" t="s">
        <v>123</v>
      </c>
      <c r="I73" s="27">
        <f ca="1">IF(D91&gt;=2,RANDBETWEEN(D92,J92),0)</f>
        <v>2</v>
      </c>
      <c r="J73" s="28"/>
      <c r="K73" s="29"/>
      <c r="L73" s="23"/>
      <c r="M73" s="19"/>
      <c r="N73" s="20" t="s">
        <v>123</v>
      </c>
      <c r="O73" s="27">
        <f ca="1">IF(D91&gt;=3,RANDBETWEEN(D92,J92),0)</f>
        <v>2</v>
      </c>
      <c r="P73" s="28"/>
      <c r="Q73" s="29"/>
      <c r="R73" s="23"/>
      <c r="S73" s="19"/>
      <c r="T73" s="20" t="s">
        <v>123</v>
      </c>
      <c r="U73" s="27">
        <f ca="1">IF(D91&gt;=4,RANDBETWEEN(D92,J92),0)</f>
        <v>2</v>
      </c>
      <c r="V73" s="28"/>
      <c r="W73" s="29"/>
      <c r="X73" s="23"/>
      <c r="Y73" s="19"/>
      <c r="Z73" s="20" t="s">
        <v>123</v>
      </c>
      <c r="AA73" s="27">
        <f ca="1">IF(D91&gt;=5,RANDBETWEEN(D92,J92),0)</f>
        <v>0</v>
      </c>
      <c r="AB73" s="28"/>
      <c r="AC73" s="29"/>
      <c r="AD73" s="23"/>
      <c r="AE73" s="22"/>
      <c r="AF73" s="50"/>
      <c r="AG73" s="51"/>
      <c r="AH73" s="49"/>
      <c r="AI73" s="49"/>
      <c r="AJ73" s="49"/>
      <c r="AK73" s="49"/>
      <c r="AL73" s="49"/>
      <c r="AM73" s="49"/>
      <c r="AN73" s="49"/>
      <c r="AO73" s="49"/>
      <c r="AP73" s="51"/>
      <c r="AQ73" s="49"/>
      <c r="AR73" s="49"/>
      <c r="AS73" s="49"/>
    </row>
    <row r="74" s="1" customFormat="1" ht="36" customHeight="1" spans="1:45">
      <c r="A74" s="19"/>
      <c r="B74" s="20" t="s">
        <v>124</v>
      </c>
      <c r="C74" s="30">
        <f ca="1">C72/C73</f>
        <v>13</v>
      </c>
      <c r="D74" s="22" t="s">
        <v>121</v>
      </c>
      <c r="E74" s="22"/>
      <c r="F74" s="23"/>
      <c r="G74" s="19"/>
      <c r="H74" s="20" t="s">
        <v>124</v>
      </c>
      <c r="I74" s="30">
        <f ca="1">I72/I73</f>
        <v>13.5</v>
      </c>
      <c r="J74" s="22" t="s">
        <v>121</v>
      </c>
      <c r="K74" s="22"/>
      <c r="L74" s="23"/>
      <c r="M74" s="19"/>
      <c r="N74" s="20" t="s">
        <v>124</v>
      </c>
      <c r="O74" s="30">
        <f ca="1">O72/O73</f>
        <v>13.5</v>
      </c>
      <c r="P74" s="22" t="s">
        <v>121</v>
      </c>
      <c r="Q74" s="22"/>
      <c r="R74" s="23"/>
      <c r="S74" s="19"/>
      <c r="T74" s="20" t="s">
        <v>124</v>
      </c>
      <c r="U74" s="30">
        <f ca="1">U72/U73</f>
        <v>13.5</v>
      </c>
      <c r="V74" s="22" t="s">
        <v>121</v>
      </c>
      <c r="W74" s="22"/>
      <c r="X74" s="23"/>
      <c r="Y74" s="19"/>
      <c r="Z74" s="20" t="s">
        <v>124</v>
      </c>
      <c r="AA74" s="30" t="e">
        <f ca="1">AA72/AA73</f>
        <v>#DIV/0!</v>
      </c>
      <c r="AB74" s="22" t="s">
        <v>121</v>
      </c>
      <c r="AC74" s="22"/>
      <c r="AD74" s="23"/>
      <c r="AE74" s="22"/>
      <c r="AF74" s="50"/>
      <c r="AG74" s="51"/>
      <c r="AH74" s="49"/>
      <c r="AI74" s="49"/>
      <c r="AJ74" s="49"/>
      <c r="AK74" s="49"/>
      <c r="AL74" s="49"/>
      <c r="AM74" s="49"/>
      <c r="AN74" s="49"/>
      <c r="AO74" s="49"/>
      <c r="AP74" s="51"/>
      <c r="AQ74" s="49"/>
      <c r="AR74" s="49"/>
      <c r="AS74" s="49"/>
    </row>
    <row r="75" s="1" customFormat="1" ht="36" customHeight="1" spans="1:45">
      <c r="A75" s="19"/>
      <c r="B75" s="20" t="s">
        <v>125</v>
      </c>
      <c r="C75" s="28">
        <f ca="1">IF(C73&gt;0,RANDBETWEEN(2,4),0)</f>
        <v>4</v>
      </c>
      <c r="D75" s="22" t="s">
        <v>126</v>
      </c>
      <c r="E75" s="22"/>
      <c r="F75" s="23"/>
      <c r="G75" s="19"/>
      <c r="H75" s="20" t="s">
        <v>125</v>
      </c>
      <c r="I75" s="28">
        <f ca="1">IF(I73&gt;0,RANDBETWEEN(2,4),0)</f>
        <v>4</v>
      </c>
      <c r="J75" s="22" t="s">
        <v>126</v>
      </c>
      <c r="K75" s="22"/>
      <c r="L75" s="23"/>
      <c r="M75" s="19"/>
      <c r="N75" s="20" t="s">
        <v>125</v>
      </c>
      <c r="O75" s="28">
        <f ca="1">IF(O73&gt;0,RANDBETWEEN(2,4),0)</f>
        <v>3</v>
      </c>
      <c r="P75" s="22" t="s">
        <v>126</v>
      </c>
      <c r="Q75" s="22"/>
      <c r="R75" s="23"/>
      <c r="S75" s="19"/>
      <c r="T75" s="20" t="s">
        <v>125</v>
      </c>
      <c r="U75" s="28">
        <f ca="1">IF(U73&gt;0,RANDBETWEEN(2,4),0)</f>
        <v>2</v>
      </c>
      <c r="V75" s="22" t="s">
        <v>126</v>
      </c>
      <c r="W75" s="22"/>
      <c r="X75" s="23"/>
      <c r="Y75" s="19"/>
      <c r="Z75" s="20" t="s">
        <v>125</v>
      </c>
      <c r="AA75" s="28">
        <f ca="1">IF(AA73&gt;0,RANDBETWEEN(2,4),0)</f>
        <v>0</v>
      </c>
      <c r="AB75" s="22" t="s">
        <v>126</v>
      </c>
      <c r="AC75" s="22"/>
      <c r="AD75" s="23"/>
      <c r="AE75" s="22"/>
      <c r="AF75" s="50"/>
      <c r="AG75" s="51"/>
      <c r="AH75" s="49"/>
      <c r="AI75" s="49"/>
      <c r="AJ75" s="49"/>
      <c r="AK75" s="49"/>
      <c r="AL75" s="49"/>
      <c r="AM75" s="49"/>
      <c r="AN75" s="49"/>
      <c r="AO75" s="49"/>
      <c r="AP75" s="51"/>
      <c r="AQ75" s="49"/>
      <c r="AR75" s="49"/>
      <c r="AS75" s="49"/>
    </row>
    <row r="76" s="1" customFormat="1" ht="36" customHeight="1" spans="1:45">
      <c r="A76" s="19"/>
      <c r="B76" s="31" t="s">
        <v>168</v>
      </c>
      <c r="C76" s="31"/>
      <c r="D76" s="31"/>
      <c r="E76" s="31"/>
      <c r="F76" s="32"/>
      <c r="G76" s="19"/>
      <c r="H76" s="31" t="s">
        <v>168</v>
      </c>
      <c r="I76" s="31"/>
      <c r="J76" s="31"/>
      <c r="K76" s="31"/>
      <c r="L76" s="32"/>
      <c r="M76" s="19"/>
      <c r="N76" s="31" t="s">
        <v>168</v>
      </c>
      <c r="O76" s="31"/>
      <c r="P76" s="31"/>
      <c r="Q76" s="31"/>
      <c r="R76" s="32"/>
      <c r="S76" s="19"/>
      <c r="T76" s="31" t="s">
        <v>168</v>
      </c>
      <c r="U76" s="31"/>
      <c r="V76" s="31"/>
      <c r="W76" s="31"/>
      <c r="X76" s="32"/>
      <c r="Y76" s="19"/>
      <c r="Z76" s="31" t="s">
        <v>168</v>
      </c>
      <c r="AA76" s="31"/>
      <c r="AB76" s="31"/>
      <c r="AC76" s="31"/>
      <c r="AD76" s="32"/>
      <c r="AE76" s="33"/>
      <c r="AF76" s="50"/>
      <c r="AG76" s="51"/>
      <c r="AH76" s="49"/>
      <c r="AI76" s="49"/>
      <c r="AJ76" s="49"/>
      <c r="AK76" s="49"/>
      <c r="AL76" s="49"/>
      <c r="AM76" s="49"/>
      <c r="AN76" s="49"/>
      <c r="AO76" s="49"/>
      <c r="AP76" s="51"/>
      <c r="AQ76" s="49"/>
      <c r="AR76" s="49"/>
      <c r="AS76" s="49"/>
    </row>
    <row r="77" s="1" customFormat="1" ht="36" customHeight="1" spans="1:45">
      <c r="A77" s="3"/>
      <c r="B77" s="4"/>
      <c r="C77" s="4"/>
      <c r="D77" s="4"/>
      <c r="E77" s="4"/>
      <c r="F77" s="5"/>
      <c r="G77" s="3"/>
      <c r="H77" s="4"/>
      <c r="I77" s="4"/>
      <c r="J77" s="4"/>
      <c r="K77" s="4"/>
      <c r="L77" s="5"/>
      <c r="M77" s="3"/>
      <c r="N77" s="4"/>
      <c r="O77" s="4"/>
      <c r="P77" s="4"/>
      <c r="Q77" s="4"/>
      <c r="R77" s="5"/>
      <c r="S77" s="3"/>
      <c r="T77" s="4"/>
      <c r="U77" s="4"/>
      <c r="V77" s="4"/>
      <c r="W77" s="4"/>
      <c r="X77" s="5"/>
      <c r="Y77" s="3"/>
      <c r="Z77" s="4"/>
      <c r="AA77" s="4"/>
      <c r="AB77" s="4"/>
      <c r="AC77" s="4"/>
      <c r="AD77" s="5"/>
      <c r="AE77" s="6"/>
      <c r="AF77" s="50"/>
      <c r="AG77" s="51"/>
      <c r="AH77" s="49"/>
      <c r="AI77" s="49"/>
      <c r="AJ77" s="49"/>
      <c r="AK77" s="49"/>
      <c r="AL77" s="49"/>
      <c r="AM77" s="49"/>
      <c r="AN77" s="49"/>
      <c r="AO77" s="49"/>
      <c r="AP77" s="51"/>
      <c r="AQ77" s="49"/>
      <c r="AR77" s="49"/>
      <c r="AS77" s="49"/>
    </row>
    <row r="78" s="1" customFormat="1" ht="36" customHeight="1" spans="1:45">
      <c r="A78" s="11"/>
      <c r="B78" s="12" t="s">
        <v>87</v>
      </c>
      <c r="C78" s="12"/>
      <c r="D78" s="12"/>
      <c r="E78" s="12"/>
      <c r="F78" s="13"/>
      <c r="G78" s="11"/>
      <c r="H78" s="12" t="s">
        <v>87</v>
      </c>
      <c r="I78" s="12"/>
      <c r="J78" s="12"/>
      <c r="K78" s="12"/>
      <c r="L78" s="13"/>
      <c r="M78" s="11"/>
      <c r="N78" s="12" t="s">
        <v>87</v>
      </c>
      <c r="O78" s="12"/>
      <c r="P78" s="12"/>
      <c r="Q78" s="12"/>
      <c r="R78" s="13"/>
      <c r="S78" s="11"/>
      <c r="T78" s="12" t="s">
        <v>87</v>
      </c>
      <c r="U78" s="12"/>
      <c r="V78" s="12"/>
      <c r="W78" s="12"/>
      <c r="X78" s="13"/>
      <c r="Y78" s="11"/>
      <c r="Z78" s="12" t="s">
        <v>87</v>
      </c>
      <c r="AA78" s="12"/>
      <c r="AB78" s="12"/>
      <c r="AC78" s="12"/>
      <c r="AD78" s="13"/>
      <c r="AE78" s="14"/>
      <c r="AF78" s="50"/>
      <c r="AG78" s="51"/>
      <c r="AH78" s="49"/>
      <c r="AI78" s="49"/>
      <c r="AJ78" s="49"/>
      <c r="AK78" s="49"/>
      <c r="AL78" s="49"/>
      <c r="AM78" s="49"/>
      <c r="AN78" s="49"/>
      <c r="AO78" s="49"/>
      <c r="AP78" s="51"/>
      <c r="AQ78" s="49"/>
      <c r="AR78" s="49"/>
      <c r="AS78" s="49"/>
    </row>
    <row r="79" s="1" customFormat="1" ht="36" customHeight="1" spans="1:45">
      <c r="A79" s="19"/>
      <c r="B79" s="20" t="s">
        <v>120</v>
      </c>
      <c r="C79" s="21">
        <f ca="1">IF(C80&gt;0,J91*C80-P91*(C80-((D92+J92)/2)),0)</f>
        <v>0</v>
      </c>
      <c r="D79" s="22" t="s">
        <v>121</v>
      </c>
      <c r="E79" s="22"/>
      <c r="F79" s="23"/>
      <c r="G79" s="19"/>
      <c r="H79" s="20" t="s">
        <v>120</v>
      </c>
      <c r="I79" s="21">
        <f ca="1">IF(I80&gt;0,J91*I80-P91*(I80-((D92+J92)/2)),0)</f>
        <v>0</v>
      </c>
      <c r="J79" s="22" t="s">
        <v>121</v>
      </c>
      <c r="K79" s="22"/>
      <c r="L79" s="23"/>
      <c r="M79" s="19"/>
      <c r="N79" s="20" t="s">
        <v>120</v>
      </c>
      <c r="O79" s="21">
        <f ca="1">IF(O80&gt;0,J91*O80-P91*(O80-((D92+J92)/2)),0)</f>
        <v>0</v>
      </c>
      <c r="P79" s="22" t="s">
        <v>121</v>
      </c>
      <c r="Q79" s="22"/>
      <c r="R79" s="23"/>
      <c r="S79" s="19"/>
      <c r="T79" s="20" t="s">
        <v>120</v>
      </c>
      <c r="U79" s="21">
        <f ca="1">IF(U80&gt;0,J91*U80-P91*(U80-((D92+J92)/2)),0)</f>
        <v>0</v>
      </c>
      <c r="V79" s="22" t="s">
        <v>121</v>
      </c>
      <c r="W79" s="22"/>
      <c r="X79" s="23"/>
      <c r="Y79" s="19"/>
      <c r="Z79" s="20" t="s">
        <v>120</v>
      </c>
      <c r="AA79" s="21">
        <f ca="1">IF(AA80&gt;0,J91*AA80-P91*(AA80-((D92+J92)/2)),0)</f>
        <v>0</v>
      </c>
      <c r="AB79" s="22" t="s">
        <v>121</v>
      </c>
      <c r="AC79" s="22"/>
      <c r="AD79" s="23"/>
      <c r="AE79" s="22"/>
      <c r="AF79" s="50"/>
      <c r="AG79" s="51"/>
      <c r="AH79" s="49"/>
      <c r="AI79" s="49"/>
      <c r="AJ79" s="49"/>
      <c r="AK79" s="49"/>
      <c r="AL79" s="49"/>
      <c r="AM79" s="49"/>
      <c r="AN79" s="49"/>
      <c r="AO79" s="49"/>
      <c r="AP79" s="51"/>
      <c r="AQ79" s="49"/>
      <c r="AR79" s="49"/>
      <c r="AS79" s="49"/>
    </row>
    <row r="80" s="1" customFormat="1" ht="36" customHeight="1" spans="1:45">
      <c r="A80" s="19"/>
      <c r="B80" s="20" t="s">
        <v>123</v>
      </c>
      <c r="C80" s="27">
        <f ca="1">IF(D91&gt;=6,RANDBETWEEN(D92,J92),0)</f>
        <v>0</v>
      </c>
      <c r="D80" s="28"/>
      <c r="E80" s="29"/>
      <c r="F80" s="23"/>
      <c r="G80" s="19"/>
      <c r="H80" s="20" t="s">
        <v>123</v>
      </c>
      <c r="I80" s="27">
        <f ca="1">IF(D91&gt;=7,RANDBETWEEN(D92,J92),0)</f>
        <v>0</v>
      </c>
      <c r="J80" s="28"/>
      <c r="K80" s="29"/>
      <c r="L80" s="23"/>
      <c r="M80" s="19"/>
      <c r="N80" s="20" t="s">
        <v>123</v>
      </c>
      <c r="O80" s="27">
        <f ca="1">IF(D91&gt;=8,RANDBETWEEN(D92,J92),0)</f>
        <v>0</v>
      </c>
      <c r="P80" s="28"/>
      <c r="Q80" s="29"/>
      <c r="R80" s="23"/>
      <c r="S80" s="19"/>
      <c r="T80" s="20" t="s">
        <v>123</v>
      </c>
      <c r="U80" s="27">
        <f ca="1">IF(D91&gt;=9,RANDBETWEEN(D92,J92),0)</f>
        <v>0</v>
      </c>
      <c r="V80" s="28"/>
      <c r="W80" s="29"/>
      <c r="X80" s="23"/>
      <c r="Y80" s="19"/>
      <c r="Z80" s="20" t="s">
        <v>123</v>
      </c>
      <c r="AA80" s="27">
        <f ca="1">IF(D91&gt;=10,RANDBETWEEN(D92,J92),0)</f>
        <v>0</v>
      </c>
      <c r="AB80" s="28"/>
      <c r="AC80" s="29"/>
      <c r="AD80" s="23"/>
      <c r="AE80" s="22"/>
      <c r="AF80" s="50"/>
      <c r="AG80" s="51"/>
      <c r="AH80" s="49"/>
      <c r="AI80" s="49"/>
      <c r="AJ80" s="49"/>
      <c r="AK80" s="49"/>
      <c r="AL80" s="49"/>
      <c r="AM80" s="49"/>
      <c r="AN80" s="49"/>
      <c r="AO80" s="49"/>
      <c r="AP80" s="51"/>
      <c r="AQ80" s="49"/>
      <c r="AR80" s="49"/>
      <c r="AS80" s="49"/>
    </row>
    <row r="81" s="1" customFormat="1" ht="36" customHeight="1" spans="1:45">
      <c r="A81" s="19"/>
      <c r="B81" s="20" t="s">
        <v>124</v>
      </c>
      <c r="C81" s="30" t="e">
        <f ca="1">C79/C80</f>
        <v>#DIV/0!</v>
      </c>
      <c r="D81" s="22" t="s">
        <v>121</v>
      </c>
      <c r="E81" s="22"/>
      <c r="F81" s="23"/>
      <c r="G81" s="19"/>
      <c r="H81" s="20" t="s">
        <v>124</v>
      </c>
      <c r="I81" s="30" t="e">
        <f ca="1">I79/I80</f>
        <v>#DIV/0!</v>
      </c>
      <c r="J81" s="22" t="s">
        <v>121</v>
      </c>
      <c r="K81" s="22"/>
      <c r="L81" s="23"/>
      <c r="M81" s="19"/>
      <c r="N81" s="20" t="s">
        <v>124</v>
      </c>
      <c r="O81" s="30" t="e">
        <f ca="1">O79/O80</f>
        <v>#DIV/0!</v>
      </c>
      <c r="P81" s="22" t="s">
        <v>121</v>
      </c>
      <c r="Q81" s="22"/>
      <c r="R81" s="23"/>
      <c r="S81" s="19"/>
      <c r="T81" s="20" t="s">
        <v>124</v>
      </c>
      <c r="U81" s="30" t="e">
        <f ca="1">U79/U80</f>
        <v>#DIV/0!</v>
      </c>
      <c r="V81" s="22" t="s">
        <v>121</v>
      </c>
      <c r="W81" s="22"/>
      <c r="X81" s="23"/>
      <c r="Y81" s="19"/>
      <c r="Z81" s="20" t="s">
        <v>124</v>
      </c>
      <c r="AA81" s="30" t="e">
        <f ca="1">AA79/AA80</f>
        <v>#DIV/0!</v>
      </c>
      <c r="AB81" s="22" t="s">
        <v>121</v>
      </c>
      <c r="AC81" s="22"/>
      <c r="AD81" s="23"/>
      <c r="AE81" s="22"/>
      <c r="AF81" s="50"/>
      <c r="AG81" s="51"/>
      <c r="AH81" s="49"/>
      <c r="AI81" s="49"/>
      <c r="AJ81" s="49"/>
      <c r="AK81" s="49"/>
      <c r="AL81" s="49"/>
      <c r="AM81" s="49"/>
      <c r="AN81" s="49"/>
      <c r="AO81" s="49"/>
      <c r="AP81" s="51"/>
      <c r="AQ81" s="49"/>
      <c r="AR81" s="49"/>
      <c r="AS81" s="49"/>
    </row>
    <row r="82" s="1" customFormat="1" ht="36" customHeight="1" spans="1:45">
      <c r="A82" s="19"/>
      <c r="B82" s="20" t="s">
        <v>125</v>
      </c>
      <c r="C82" s="28">
        <f ca="1">IF(C80&gt;0,RANDBETWEEN(2,4),0)</f>
        <v>0</v>
      </c>
      <c r="D82" s="22" t="s">
        <v>126</v>
      </c>
      <c r="E82" s="22"/>
      <c r="F82" s="23"/>
      <c r="G82" s="19"/>
      <c r="H82" s="20" t="s">
        <v>125</v>
      </c>
      <c r="I82" s="28">
        <f ca="1">IF(I80&gt;0,RANDBETWEEN(2,4),0)</f>
        <v>0</v>
      </c>
      <c r="J82" s="22" t="s">
        <v>126</v>
      </c>
      <c r="K82" s="22"/>
      <c r="L82" s="23"/>
      <c r="M82" s="19"/>
      <c r="N82" s="20" t="s">
        <v>125</v>
      </c>
      <c r="O82" s="28">
        <f ca="1">IF(O80&gt;0,RANDBETWEEN(2,4),0)</f>
        <v>0</v>
      </c>
      <c r="P82" s="22" t="s">
        <v>126</v>
      </c>
      <c r="Q82" s="22"/>
      <c r="R82" s="23"/>
      <c r="S82" s="19"/>
      <c r="T82" s="20" t="s">
        <v>125</v>
      </c>
      <c r="U82" s="28">
        <f ca="1">IF(U80&gt;0,RANDBETWEEN(2,4),0)</f>
        <v>0</v>
      </c>
      <c r="V82" s="22" t="s">
        <v>126</v>
      </c>
      <c r="W82" s="22"/>
      <c r="X82" s="23"/>
      <c r="Y82" s="19"/>
      <c r="Z82" s="20" t="s">
        <v>125</v>
      </c>
      <c r="AA82" s="28">
        <f ca="1">IF(AA80&gt;0,RANDBETWEEN(2,4),0)</f>
        <v>0</v>
      </c>
      <c r="AB82" s="22" t="s">
        <v>126</v>
      </c>
      <c r="AC82" s="22"/>
      <c r="AD82" s="23"/>
      <c r="AE82" s="22"/>
      <c r="AF82" s="50"/>
      <c r="AG82" s="51"/>
      <c r="AH82" s="49"/>
      <c r="AI82" s="49"/>
      <c r="AJ82" s="49"/>
      <c r="AK82" s="49"/>
      <c r="AL82" s="49"/>
      <c r="AM82" s="49"/>
      <c r="AN82" s="49"/>
      <c r="AO82" s="49"/>
      <c r="AP82" s="51"/>
      <c r="AQ82" s="49"/>
      <c r="AR82" s="49"/>
      <c r="AS82" s="49"/>
    </row>
    <row r="83" s="1" customFormat="1" ht="36" customHeight="1" spans="1:45">
      <c r="A83" s="19"/>
      <c r="B83" s="31" t="s">
        <v>168</v>
      </c>
      <c r="C83" s="31"/>
      <c r="D83" s="31"/>
      <c r="E83" s="31"/>
      <c r="F83" s="32"/>
      <c r="G83" s="19"/>
      <c r="H83" s="31" t="s">
        <v>168</v>
      </c>
      <c r="I83" s="31"/>
      <c r="J83" s="31"/>
      <c r="K83" s="31"/>
      <c r="L83" s="32"/>
      <c r="M83" s="19"/>
      <c r="N83" s="31" t="s">
        <v>168</v>
      </c>
      <c r="O83" s="31"/>
      <c r="P83" s="31"/>
      <c r="Q83" s="31"/>
      <c r="R83" s="32"/>
      <c r="S83" s="19"/>
      <c r="T83" s="31" t="s">
        <v>168</v>
      </c>
      <c r="U83" s="31"/>
      <c r="V83" s="31"/>
      <c r="W83" s="31"/>
      <c r="X83" s="32"/>
      <c r="Y83" s="19"/>
      <c r="Z83" s="31" t="s">
        <v>168</v>
      </c>
      <c r="AA83" s="31"/>
      <c r="AB83" s="31"/>
      <c r="AC83" s="31"/>
      <c r="AD83" s="32"/>
      <c r="AE83" s="33"/>
      <c r="AF83" s="50"/>
      <c r="AG83" s="51"/>
      <c r="AH83" s="49"/>
      <c r="AI83" s="49"/>
      <c r="AJ83" s="49"/>
      <c r="AK83" s="49"/>
      <c r="AL83" s="49"/>
      <c r="AM83" s="49"/>
      <c r="AN83" s="49"/>
      <c r="AO83" s="49"/>
      <c r="AP83" s="51"/>
      <c r="AQ83" s="49"/>
      <c r="AR83" s="49"/>
      <c r="AS83" s="49"/>
    </row>
    <row r="84" s="1" customFormat="1" ht="36" customHeight="1" spans="1:45">
      <c r="A84" s="3"/>
      <c r="B84" s="4"/>
      <c r="C84" s="4"/>
      <c r="D84" s="4"/>
      <c r="E84" s="4"/>
      <c r="F84" s="5"/>
      <c r="G84" s="3"/>
      <c r="H84" s="4"/>
      <c r="I84" s="4"/>
      <c r="J84" s="4"/>
      <c r="K84" s="4"/>
      <c r="L84" s="5"/>
      <c r="M84" s="3"/>
      <c r="N84" s="4"/>
      <c r="O84" s="4"/>
      <c r="P84" s="4"/>
      <c r="Q84" s="4"/>
      <c r="R84" s="5"/>
      <c r="S84" s="3"/>
      <c r="T84" s="4"/>
      <c r="U84" s="4"/>
      <c r="V84" s="4"/>
      <c r="W84" s="4"/>
      <c r="X84" s="5"/>
      <c r="Y84" s="3"/>
      <c r="Z84" s="4"/>
      <c r="AA84" s="4"/>
      <c r="AB84" s="4"/>
      <c r="AC84" s="4"/>
      <c r="AD84" s="5"/>
      <c r="AE84" s="6"/>
      <c r="AF84" s="50"/>
      <c r="AG84" s="51"/>
      <c r="AH84" s="49"/>
      <c r="AI84" s="49"/>
      <c r="AJ84" s="49"/>
      <c r="AK84" s="49"/>
      <c r="AL84" s="49"/>
      <c r="AM84" s="49"/>
      <c r="AN84" s="49"/>
      <c r="AO84" s="49"/>
      <c r="AP84" s="51"/>
      <c r="AQ84" s="49"/>
      <c r="AR84" s="49"/>
      <c r="AS84" s="49"/>
    </row>
    <row r="85" s="1" customFormat="1" ht="36" customHeight="1" spans="1:45">
      <c r="A85" s="11"/>
      <c r="B85" s="12" t="s">
        <v>87</v>
      </c>
      <c r="C85" s="12"/>
      <c r="D85" s="12"/>
      <c r="E85" s="12"/>
      <c r="F85" s="13"/>
      <c r="G85" s="11"/>
      <c r="H85" s="12" t="s">
        <v>87</v>
      </c>
      <c r="I85" s="12"/>
      <c r="J85" s="12"/>
      <c r="K85" s="12"/>
      <c r="L85" s="13"/>
      <c r="M85" s="11"/>
      <c r="N85" s="12" t="s">
        <v>87</v>
      </c>
      <c r="O85" s="12"/>
      <c r="P85" s="12"/>
      <c r="Q85" s="12"/>
      <c r="R85" s="13"/>
      <c r="S85" s="11"/>
      <c r="T85" s="12" t="s">
        <v>87</v>
      </c>
      <c r="U85" s="12"/>
      <c r="V85" s="12"/>
      <c r="W85" s="12"/>
      <c r="X85" s="13"/>
      <c r="Y85" s="11"/>
      <c r="Z85" s="12" t="s">
        <v>87</v>
      </c>
      <c r="AA85" s="12"/>
      <c r="AB85" s="12"/>
      <c r="AC85" s="12"/>
      <c r="AD85" s="13"/>
      <c r="AE85" s="14"/>
      <c r="AF85" s="50"/>
      <c r="AG85" s="51"/>
      <c r="AH85" s="49"/>
      <c r="AI85" s="49"/>
      <c r="AJ85" s="49"/>
      <c r="AK85" s="49"/>
      <c r="AL85" s="49"/>
      <c r="AM85" s="49"/>
      <c r="AN85" s="49"/>
      <c r="AO85" s="49"/>
      <c r="AP85" s="51"/>
      <c r="AQ85" s="49"/>
      <c r="AR85" s="49"/>
      <c r="AS85" s="49"/>
    </row>
    <row r="86" s="1" customFormat="1" ht="36" customHeight="1" spans="1:45">
      <c r="A86" s="19"/>
      <c r="B86" s="20" t="s">
        <v>120</v>
      </c>
      <c r="C86" s="21">
        <f ca="1">IF(C87&gt;0,J91*C87-P91*(C87-((D92+J92)/2)),0)</f>
        <v>0</v>
      </c>
      <c r="D86" s="22" t="s">
        <v>121</v>
      </c>
      <c r="E86" s="22"/>
      <c r="F86" s="23"/>
      <c r="G86" s="19"/>
      <c r="H86" s="20" t="s">
        <v>120</v>
      </c>
      <c r="I86" s="21">
        <f ca="1">IF(I87&gt;0,J91*I87-P91*(I87-((D92+J92)/2)),0)</f>
        <v>0</v>
      </c>
      <c r="J86" s="22" t="s">
        <v>121</v>
      </c>
      <c r="K86" s="22"/>
      <c r="L86" s="23"/>
      <c r="M86" s="19"/>
      <c r="N86" s="20" t="s">
        <v>120</v>
      </c>
      <c r="O86" s="21">
        <f ca="1">IF(O87&gt;0,J91*O87-P91*(O87-((D92+J92)/2)),0)</f>
        <v>0</v>
      </c>
      <c r="P86" s="22" t="s">
        <v>121</v>
      </c>
      <c r="Q86" s="22"/>
      <c r="R86" s="23"/>
      <c r="S86" s="19"/>
      <c r="T86" s="20" t="s">
        <v>120</v>
      </c>
      <c r="U86" s="21">
        <f ca="1">IF(U87&gt;0,J91*U87-P91*(U87-((D92+J92)/2)),0)</f>
        <v>0</v>
      </c>
      <c r="V86" s="22" t="s">
        <v>121</v>
      </c>
      <c r="W86" s="22"/>
      <c r="X86" s="23"/>
      <c r="Y86" s="19"/>
      <c r="Z86" s="20" t="s">
        <v>120</v>
      </c>
      <c r="AA86" s="21">
        <f ca="1">IF(AA87&gt;0,J91*AA87-P91*(AA87-((D92+J92)/2)),0)</f>
        <v>0</v>
      </c>
      <c r="AB86" s="22" t="s">
        <v>121</v>
      </c>
      <c r="AC86" s="22"/>
      <c r="AD86" s="23"/>
      <c r="AE86" s="22"/>
      <c r="AF86" s="50"/>
      <c r="AG86" s="51"/>
      <c r="AH86" s="49"/>
      <c r="AI86" s="49"/>
      <c r="AJ86" s="49"/>
      <c r="AK86" s="49"/>
      <c r="AL86" s="49"/>
      <c r="AM86" s="49"/>
      <c r="AN86" s="49"/>
      <c r="AO86" s="49"/>
      <c r="AP86" s="51"/>
      <c r="AQ86" s="49"/>
      <c r="AR86" s="49"/>
      <c r="AS86" s="49"/>
    </row>
    <row r="87" s="1" customFormat="1" ht="36" customHeight="1" spans="1:45">
      <c r="A87" s="19"/>
      <c r="B87" s="20" t="s">
        <v>123</v>
      </c>
      <c r="C87" s="27">
        <f ca="1">IF(D91&gt;=11,RANDBETWEEN(D92,J92),0)</f>
        <v>0</v>
      </c>
      <c r="D87" s="28"/>
      <c r="E87" s="29"/>
      <c r="F87" s="23"/>
      <c r="G87" s="19"/>
      <c r="H87" s="20" t="s">
        <v>123</v>
      </c>
      <c r="I87" s="27">
        <f ca="1">IF(D91&gt;=12,RANDBETWEEN(D92,J92),0)</f>
        <v>0</v>
      </c>
      <c r="J87" s="28"/>
      <c r="K87" s="29"/>
      <c r="L87" s="23"/>
      <c r="M87" s="19"/>
      <c r="N87" s="20" t="s">
        <v>123</v>
      </c>
      <c r="O87" s="27">
        <f ca="1">IF(D91&gt;=13,RANDBETWEEN(D92,J92),0)</f>
        <v>0</v>
      </c>
      <c r="P87" s="28"/>
      <c r="Q87" s="29"/>
      <c r="R87" s="23"/>
      <c r="S87" s="19"/>
      <c r="T87" s="20" t="s">
        <v>123</v>
      </c>
      <c r="U87" s="27">
        <f ca="1">IF(D91&gt;=14,RANDBETWEEN(D92,J92),0)</f>
        <v>0</v>
      </c>
      <c r="V87" s="28"/>
      <c r="W87" s="29"/>
      <c r="X87" s="23"/>
      <c r="Y87" s="19"/>
      <c r="Z87" s="20" t="s">
        <v>123</v>
      </c>
      <c r="AA87" s="27">
        <f ca="1">IF(D91&gt;=15,RANDBETWEEN(D92,J92),0)</f>
        <v>0</v>
      </c>
      <c r="AB87" s="28"/>
      <c r="AC87" s="29"/>
      <c r="AD87" s="23"/>
      <c r="AE87" s="22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</row>
    <row r="88" s="1" customFormat="1" ht="36" customHeight="1" spans="1:45">
      <c r="A88" s="19"/>
      <c r="B88" s="20" t="s">
        <v>124</v>
      </c>
      <c r="C88" s="30" t="e">
        <f ca="1">C86/C87</f>
        <v>#DIV/0!</v>
      </c>
      <c r="D88" s="22" t="s">
        <v>121</v>
      </c>
      <c r="E88" s="22"/>
      <c r="F88" s="23"/>
      <c r="G88" s="19"/>
      <c r="H88" s="20" t="s">
        <v>124</v>
      </c>
      <c r="I88" s="30" t="e">
        <f ca="1">I86/I87</f>
        <v>#DIV/0!</v>
      </c>
      <c r="J88" s="22" t="s">
        <v>121</v>
      </c>
      <c r="K88" s="22"/>
      <c r="L88" s="23"/>
      <c r="M88" s="19"/>
      <c r="N88" s="20" t="s">
        <v>124</v>
      </c>
      <c r="O88" s="30" t="e">
        <f ca="1">O86/O87</f>
        <v>#DIV/0!</v>
      </c>
      <c r="P88" s="22" t="s">
        <v>121</v>
      </c>
      <c r="Q88" s="22"/>
      <c r="R88" s="23"/>
      <c r="S88" s="19"/>
      <c r="T88" s="20" t="s">
        <v>124</v>
      </c>
      <c r="U88" s="30" t="e">
        <f ca="1">U86/U87</f>
        <v>#DIV/0!</v>
      </c>
      <c r="V88" s="22" t="s">
        <v>121</v>
      </c>
      <c r="W88" s="22"/>
      <c r="X88" s="23"/>
      <c r="Y88" s="19"/>
      <c r="Z88" s="20" t="s">
        <v>124</v>
      </c>
      <c r="AA88" s="30" t="e">
        <f ca="1">AA86/AA87</f>
        <v>#DIV/0!</v>
      </c>
      <c r="AB88" s="22" t="s">
        <v>121</v>
      </c>
      <c r="AC88" s="22"/>
      <c r="AD88" s="23"/>
      <c r="AE88" s="22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</row>
    <row r="89" s="1" customFormat="1" ht="36" customHeight="1" spans="1:45">
      <c r="A89" s="19"/>
      <c r="B89" s="20" t="s">
        <v>125</v>
      </c>
      <c r="C89" s="28">
        <f ca="1">IF(C87&gt;0,RANDBETWEEN(2,4),0)</f>
        <v>0</v>
      </c>
      <c r="D89" s="22" t="s">
        <v>126</v>
      </c>
      <c r="E89" s="22"/>
      <c r="F89" s="23"/>
      <c r="G89" s="19"/>
      <c r="H89" s="20" t="s">
        <v>125</v>
      </c>
      <c r="I89" s="28">
        <f ca="1">IF(I87&gt;0,RANDBETWEEN(2,4),0)</f>
        <v>0</v>
      </c>
      <c r="J89" s="22" t="s">
        <v>126</v>
      </c>
      <c r="K89" s="22"/>
      <c r="L89" s="23"/>
      <c r="M89" s="19"/>
      <c r="N89" s="20" t="s">
        <v>125</v>
      </c>
      <c r="O89" s="28">
        <f ca="1">IF(O87&gt;0,RANDBETWEEN(2,4),0)</f>
        <v>0</v>
      </c>
      <c r="P89" s="22" t="s">
        <v>126</v>
      </c>
      <c r="Q89" s="22"/>
      <c r="R89" s="23"/>
      <c r="S89" s="19"/>
      <c r="T89" s="20" t="s">
        <v>125</v>
      </c>
      <c r="U89" s="28">
        <f ca="1">IF(U87&gt;0,RANDBETWEEN(2,4),0)</f>
        <v>0</v>
      </c>
      <c r="V89" s="22" t="s">
        <v>126</v>
      </c>
      <c r="W89" s="22"/>
      <c r="X89" s="23"/>
      <c r="Y89" s="19"/>
      <c r="Z89" s="20" t="s">
        <v>125</v>
      </c>
      <c r="AA89" s="28">
        <f ca="1">IF(AA87&gt;0,RANDBETWEEN(2,4),0)</f>
        <v>0</v>
      </c>
      <c r="AB89" s="22" t="s">
        <v>126</v>
      </c>
      <c r="AC89" s="22"/>
      <c r="AD89" s="23"/>
      <c r="AE89" s="22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</row>
    <row r="90" s="1" customFormat="1" ht="36" customHeight="1" spans="1:45">
      <c r="A90" s="36"/>
      <c r="B90" s="37" t="s">
        <v>168</v>
      </c>
      <c r="C90" s="37"/>
      <c r="D90" s="37"/>
      <c r="E90" s="37"/>
      <c r="F90" s="38"/>
      <c r="G90" s="36"/>
      <c r="H90" s="37" t="s">
        <v>168</v>
      </c>
      <c r="I90" s="37"/>
      <c r="J90" s="37"/>
      <c r="K90" s="37"/>
      <c r="L90" s="38"/>
      <c r="M90" s="36"/>
      <c r="N90" s="37" t="s">
        <v>168</v>
      </c>
      <c r="O90" s="37"/>
      <c r="P90" s="37"/>
      <c r="Q90" s="37"/>
      <c r="R90" s="38"/>
      <c r="S90" s="36"/>
      <c r="T90" s="37" t="s">
        <v>168</v>
      </c>
      <c r="U90" s="37"/>
      <c r="V90" s="37"/>
      <c r="W90" s="37"/>
      <c r="X90" s="38"/>
      <c r="Y90" s="36"/>
      <c r="Z90" s="37" t="s">
        <v>168</v>
      </c>
      <c r="AA90" s="37"/>
      <c r="AB90" s="37"/>
      <c r="AC90" s="37"/>
      <c r="AD90" s="38"/>
      <c r="AE90" s="33"/>
    </row>
    <row r="91" s="1" customFormat="1" ht="36" customHeight="1" spans="1:45">
      <c r="A91" s="39"/>
      <c r="B91" s="40" t="s">
        <v>130</v>
      </c>
      <c r="C91" s="40"/>
      <c r="D91" s="41">
        <f>市场预测!O54</f>
        <v>4</v>
      </c>
      <c r="E91" s="41"/>
      <c r="F91" s="41"/>
      <c r="G91" s="42"/>
      <c r="H91" s="12" t="s">
        <v>131</v>
      </c>
      <c r="I91" s="12"/>
      <c r="J91" s="43">
        <v>13</v>
      </c>
      <c r="K91" s="43"/>
      <c r="L91" s="43"/>
      <c r="M91" s="42"/>
      <c r="N91" s="44" t="s">
        <v>132</v>
      </c>
      <c r="O91" s="44"/>
      <c r="P91" s="43">
        <v>1</v>
      </c>
      <c r="Q91" s="43"/>
      <c r="R91" s="43"/>
      <c r="S91" s="12" t="s">
        <v>133</v>
      </c>
      <c r="T91" s="12"/>
      <c r="U91" s="12"/>
      <c r="V91" s="45">
        <f ca="1">C73+I73+O73+AA73+C80+U73+O80+U80+I80+AA80+AA87+U87+O87+I87+C87</f>
        <v>9</v>
      </c>
      <c r="W91" s="45"/>
      <c r="X91" s="45"/>
      <c r="Y91" s="42"/>
      <c r="Z91" s="46"/>
      <c r="AA91" s="46"/>
      <c r="AB91" s="46"/>
      <c r="AC91" s="46"/>
      <c r="AD91" s="46"/>
      <c r="AE91" s="33"/>
    </row>
    <row r="92" s="1" customFormat="1" ht="36" customHeight="1" spans="1:45">
      <c r="A92" s="39"/>
      <c r="B92" s="40" t="s">
        <v>134</v>
      </c>
      <c r="C92" s="40"/>
      <c r="D92" s="43">
        <v>2</v>
      </c>
      <c r="E92" s="43"/>
      <c r="F92" s="43"/>
      <c r="G92" s="42"/>
      <c r="H92" s="40" t="s">
        <v>135</v>
      </c>
      <c r="I92" s="40"/>
      <c r="J92" s="43">
        <v>4</v>
      </c>
      <c r="K92" s="43"/>
      <c r="L92" s="43"/>
      <c r="M92" s="42"/>
      <c r="N92" s="47" t="s">
        <v>136</v>
      </c>
      <c r="O92" s="47"/>
      <c r="P92" s="41">
        <f ca="1">V91/市场预测!O14</f>
        <v>1.125</v>
      </c>
      <c r="Q92" s="41"/>
      <c r="R92" s="41"/>
      <c r="S92" s="12" t="s">
        <v>137</v>
      </c>
      <c r="T92" s="12"/>
      <c r="U92" s="12"/>
      <c r="V92" s="48">
        <f ca="1">C72+I72+O72+U72+AA72+C79+I79+O79+U79+AA79+C86+I86+O86+U86+AA86</f>
        <v>120</v>
      </c>
      <c r="W92" s="48"/>
      <c r="X92" s="48"/>
      <c r="Y92" s="42"/>
    </row>
  </sheetData>
  <mergeCells count="401">
    <mergeCell ref="B2:E2"/>
    <mergeCell ref="H2:K2"/>
    <mergeCell ref="N2:Q2"/>
    <mergeCell ref="T2:W2"/>
    <mergeCell ref="Z2:AC2"/>
    <mergeCell ref="D3:E3"/>
    <mergeCell ref="J3:K3"/>
    <mergeCell ref="P3:Q3"/>
    <mergeCell ref="V3:W3"/>
    <mergeCell ref="AB3:AC3"/>
    <mergeCell ref="D5:E5"/>
    <mergeCell ref="J5:K5"/>
    <mergeCell ref="P5:Q5"/>
    <mergeCell ref="V5:W5"/>
    <mergeCell ref="AB5:AC5"/>
    <mergeCell ref="D6:E6"/>
    <mergeCell ref="J6:K6"/>
    <mergeCell ref="P6:Q6"/>
    <mergeCell ref="V6:W6"/>
    <mergeCell ref="AB6:AC6"/>
    <mergeCell ref="B7:E7"/>
    <mergeCell ref="H7:K7"/>
    <mergeCell ref="N7:Q7"/>
    <mergeCell ref="T7:W7"/>
    <mergeCell ref="Z7:AC7"/>
    <mergeCell ref="B9:E9"/>
    <mergeCell ref="H9:K9"/>
    <mergeCell ref="N9:Q9"/>
    <mergeCell ref="T9:W9"/>
    <mergeCell ref="Z9:AC9"/>
    <mergeCell ref="D10:E10"/>
    <mergeCell ref="J10:K10"/>
    <mergeCell ref="P10:Q10"/>
    <mergeCell ref="V10:W10"/>
    <mergeCell ref="AB10:AC10"/>
    <mergeCell ref="D12:E12"/>
    <mergeCell ref="J12:K12"/>
    <mergeCell ref="P12:Q12"/>
    <mergeCell ref="V12:W12"/>
    <mergeCell ref="AB12:AC12"/>
    <mergeCell ref="D13:E13"/>
    <mergeCell ref="J13:K13"/>
    <mergeCell ref="P13:Q13"/>
    <mergeCell ref="V13:W13"/>
    <mergeCell ref="AB13:AC13"/>
    <mergeCell ref="B14:E14"/>
    <mergeCell ref="H14:K14"/>
    <mergeCell ref="N14:Q14"/>
    <mergeCell ref="T14:W14"/>
    <mergeCell ref="Z14:AC14"/>
    <mergeCell ref="B16:E16"/>
    <mergeCell ref="H16:K16"/>
    <mergeCell ref="N16:Q16"/>
    <mergeCell ref="T16:W16"/>
    <mergeCell ref="Z16:AC16"/>
    <mergeCell ref="D17:E17"/>
    <mergeCell ref="J17:K17"/>
    <mergeCell ref="P17:Q17"/>
    <mergeCell ref="V17:W17"/>
    <mergeCell ref="AB17:AC17"/>
    <mergeCell ref="D19:E19"/>
    <mergeCell ref="J19:K19"/>
    <mergeCell ref="P19:Q19"/>
    <mergeCell ref="V19:W19"/>
    <mergeCell ref="AB19:AC19"/>
    <mergeCell ref="D20:E20"/>
    <mergeCell ref="J20:K20"/>
    <mergeCell ref="P20:Q20"/>
    <mergeCell ref="V20:W20"/>
    <mergeCell ref="AB20:AC20"/>
    <mergeCell ref="B21:E21"/>
    <mergeCell ref="H21:K21"/>
    <mergeCell ref="N21:Q21"/>
    <mergeCell ref="T21:W21"/>
    <mergeCell ref="Z21:AC21"/>
    <mergeCell ref="B22:C22"/>
    <mergeCell ref="D22:F22"/>
    <mergeCell ref="H22:I22"/>
    <mergeCell ref="J22:L22"/>
    <mergeCell ref="N22:O22"/>
    <mergeCell ref="P22:R22"/>
    <mergeCell ref="S22:U22"/>
    <mergeCell ref="V22:X22"/>
    <mergeCell ref="Z22:AA22"/>
    <mergeCell ref="AB22:AD22"/>
    <mergeCell ref="B23:C23"/>
    <mergeCell ref="D23:F23"/>
    <mergeCell ref="H23:I23"/>
    <mergeCell ref="J23:L23"/>
    <mergeCell ref="N23:O23"/>
    <mergeCell ref="P23:R23"/>
    <mergeCell ref="S23:U23"/>
    <mergeCell ref="V23:X23"/>
    <mergeCell ref="B25:E25"/>
    <mergeCell ref="H25:K25"/>
    <mergeCell ref="N25:Q25"/>
    <mergeCell ref="T25:W25"/>
    <mergeCell ref="Z25:AC25"/>
    <mergeCell ref="D26:E26"/>
    <mergeCell ref="J26:K26"/>
    <mergeCell ref="P26:Q26"/>
    <mergeCell ref="V26:W26"/>
    <mergeCell ref="AB26:AC26"/>
    <mergeCell ref="D28:E28"/>
    <mergeCell ref="J28:K28"/>
    <mergeCell ref="P28:Q28"/>
    <mergeCell ref="V28:W28"/>
    <mergeCell ref="AB28:AC28"/>
    <mergeCell ref="D29:E29"/>
    <mergeCell ref="J29:K29"/>
    <mergeCell ref="P29:Q29"/>
    <mergeCell ref="V29:W29"/>
    <mergeCell ref="AB29:AC29"/>
    <mergeCell ref="B30:E30"/>
    <mergeCell ref="H30:K30"/>
    <mergeCell ref="N30:Q30"/>
    <mergeCell ref="T30:W30"/>
    <mergeCell ref="Z30:AC30"/>
    <mergeCell ref="B32:E32"/>
    <mergeCell ref="H32:K32"/>
    <mergeCell ref="N32:Q32"/>
    <mergeCell ref="T32:W32"/>
    <mergeCell ref="Z32:AC32"/>
    <mergeCell ref="D33:E33"/>
    <mergeCell ref="J33:K33"/>
    <mergeCell ref="P33:Q33"/>
    <mergeCell ref="V33:W33"/>
    <mergeCell ref="AB33:AC33"/>
    <mergeCell ref="D35:E35"/>
    <mergeCell ref="J35:K35"/>
    <mergeCell ref="P35:Q35"/>
    <mergeCell ref="V35:W35"/>
    <mergeCell ref="AB35:AC35"/>
    <mergeCell ref="D36:E36"/>
    <mergeCell ref="J36:K36"/>
    <mergeCell ref="P36:Q36"/>
    <mergeCell ref="V36:W36"/>
    <mergeCell ref="AB36:AC36"/>
    <mergeCell ref="B37:E37"/>
    <mergeCell ref="H37:K37"/>
    <mergeCell ref="N37:Q37"/>
    <mergeCell ref="T37:W37"/>
    <mergeCell ref="Z37:AC37"/>
    <mergeCell ref="B39:E39"/>
    <mergeCell ref="H39:K39"/>
    <mergeCell ref="N39:Q39"/>
    <mergeCell ref="T39:W39"/>
    <mergeCell ref="Z39:AC39"/>
    <mergeCell ref="D40:E40"/>
    <mergeCell ref="J40:K40"/>
    <mergeCell ref="P40:Q40"/>
    <mergeCell ref="V40:W40"/>
    <mergeCell ref="AB40:AC40"/>
    <mergeCell ref="D42:E42"/>
    <mergeCell ref="J42:K42"/>
    <mergeCell ref="P42:Q42"/>
    <mergeCell ref="V42:W42"/>
    <mergeCell ref="AB42:AC42"/>
    <mergeCell ref="D43:E43"/>
    <mergeCell ref="J43:K43"/>
    <mergeCell ref="P43:Q43"/>
    <mergeCell ref="V43:W43"/>
    <mergeCell ref="AB43:AC43"/>
    <mergeCell ref="B44:E44"/>
    <mergeCell ref="H44:K44"/>
    <mergeCell ref="N44:Q44"/>
    <mergeCell ref="T44:W44"/>
    <mergeCell ref="Z44:AC44"/>
    <mergeCell ref="B45:C45"/>
    <mergeCell ref="D45:F45"/>
    <mergeCell ref="H45:I45"/>
    <mergeCell ref="J45:L45"/>
    <mergeCell ref="N45:O45"/>
    <mergeCell ref="P45:R45"/>
    <mergeCell ref="S45:U45"/>
    <mergeCell ref="V45:X45"/>
    <mergeCell ref="Z45:AA45"/>
    <mergeCell ref="AB45:AD45"/>
    <mergeCell ref="B46:C46"/>
    <mergeCell ref="D46:F46"/>
    <mergeCell ref="H46:I46"/>
    <mergeCell ref="J46:L46"/>
    <mergeCell ref="N46:O46"/>
    <mergeCell ref="P46:R46"/>
    <mergeCell ref="S46:U46"/>
    <mergeCell ref="V46:X46"/>
    <mergeCell ref="B48:E48"/>
    <mergeCell ref="H48:K48"/>
    <mergeCell ref="N48:Q48"/>
    <mergeCell ref="T48:W48"/>
    <mergeCell ref="Z48:AC48"/>
    <mergeCell ref="D49:E49"/>
    <mergeCell ref="J49:K49"/>
    <mergeCell ref="P49:Q49"/>
    <mergeCell ref="V49:W49"/>
    <mergeCell ref="AB49:AC49"/>
    <mergeCell ref="D51:E51"/>
    <mergeCell ref="J51:K51"/>
    <mergeCell ref="P51:Q51"/>
    <mergeCell ref="V51:W51"/>
    <mergeCell ref="AB51:AC51"/>
    <mergeCell ref="D52:E52"/>
    <mergeCell ref="J52:K52"/>
    <mergeCell ref="P52:Q52"/>
    <mergeCell ref="V52:W52"/>
    <mergeCell ref="AB52:AC52"/>
    <mergeCell ref="B53:E53"/>
    <mergeCell ref="H53:K53"/>
    <mergeCell ref="N53:Q53"/>
    <mergeCell ref="T53:W53"/>
    <mergeCell ref="Z53:AC53"/>
    <mergeCell ref="B55:E55"/>
    <mergeCell ref="H55:K55"/>
    <mergeCell ref="N55:Q55"/>
    <mergeCell ref="T55:W55"/>
    <mergeCell ref="Z55:AC55"/>
    <mergeCell ref="D56:E56"/>
    <mergeCell ref="J56:K56"/>
    <mergeCell ref="P56:Q56"/>
    <mergeCell ref="V56:W56"/>
    <mergeCell ref="AB56:AC56"/>
    <mergeCell ref="D58:E58"/>
    <mergeCell ref="J58:K58"/>
    <mergeCell ref="P58:Q58"/>
    <mergeCell ref="V58:W58"/>
    <mergeCell ref="AB58:AC58"/>
    <mergeCell ref="D59:E59"/>
    <mergeCell ref="J59:K59"/>
    <mergeCell ref="P59:Q59"/>
    <mergeCell ref="V59:W59"/>
    <mergeCell ref="AB59:AC59"/>
    <mergeCell ref="B60:E60"/>
    <mergeCell ref="H60:K60"/>
    <mergeCell ref="N60:Q60"/>
    <mergeCell ref="T60:W60"/>
    <mergeCell ref="Z60:AC60"/>
    <mergeCell ref="B62:E62"/>
    <mergeCell ref="H62:K62"/>
    <mergeCell ref="N62:Q62"/>
    <mergeCell ref="T62:W62"/>
    <mergeCell ref="Z62:AC62"/>
    <mergeCell ref="D63:E63"/>
    <mergeCell ref="J63:K63"/>
    <mergeCell ref="P63:Q63"/>
    <mergeCell ref="V63:W63"/>
    <mergeCell ref="AB63:AC63"/>
    <mergeCell ref="D65:E65"/>
    <mergeCell ref="J65:K65"/>
    <mergeCell ref="P65:Q65"/>
    <mergeCell ref="V65:W65"/>
    <mergeCell ref="AB65:AC65"/>
    <mergeCell ref="D66:E66"/>
    <mergeCell ref="J66:K66"/>
    <mergeCell ref="P66:Q66"/>
    <mergeCell ref="V66:W66"/>
    <mergeCell ref="AB66:AC66"/>
    <mergeCell ref="B67:E67"/>
    <mergeCell ref="H67:K67"/>
    <mergeCell ref="N67:Q67"/>
    <mergeCell ref="T67:W67"/>
    <mergeCell ref="Z67:AC67"/>
    <mergeCell ref="B68:C68"/>
    <mergeCell ref="D68:F68"/>
    <mergeCell ref="H68:I68"/>
    <mergeCell ref="J68:L68"/>
    <mergeCell ref="N68:O68"/>
    <mergeCell ref="P68:R68"/>
    <mergeCell ref="S68:U68"/>
    <mergeCell ref="V68:X68"/>
    <mergeCell ref="Z68:AA68"/>
    <mergeCell ref="AB68:AD68"/>
    <mergeCell ref="B69:C69"/>
    <mergeCell ref="D69:F69"/>
    <mergeCell ref="H69:I69"/>
    <mergeCell ref="J69:L69"/>
    <mergeCell ref="N69:O69"/>
    <mergeCell ref="P69:R69"/>
    <mergeCell ref="S69:U69"/>
    <mergeCell ref="V69:X69"/>
    <mergeCell ref="B71:E71"/>
    <mergeCell ref="H71:K71"/>
    <mergeCell ref="N71:Q71"/>
    <mergeCell ref="T71:W71"/>
    <mergeCell ref="Z71:AC71"/>
    <mergeCell ref="D72:E72"/>
    <mergeCell ref="J72:K72"/>
    <mergeCell ref="P72:Q72"/>
    <mergeCell ref="V72:W72"/>
    <mergeCell ref="AB72:AC72"/>
    <mergeCell ref="D74:E74"/>
    <mergeCell ref="J74:K74"/>
    <mergeCell ref="P74:Q74"/>
    <mergeCell ref="V74:W74"/>
    <mergeCell ref="AB74:AC74"/>
    <mergeCell ref="D75:E75"/>
    <mergeCell ref="J75:K75"/>
    <mergeCell ref="P75:Q75"/>
    <mergeCell ref="V75:W75"/>
    <mergeCell ref="AB75:AC75"/>
    <mergeCell ref="B76:E76"/>
    <mergeCell ref="H76:K76"/>
    <mergeCell ref="N76:Q76"/>
    <mergeCell ref="T76:W76"/>
    <mergeCell ref="Z76:AC76"/>
    <mergeCell ref="B78:E78"/>
    <mergeCell ref="H78:K78"/>
    <mergeCell ref="N78:Q78"/>
    <mergeCell ref="T78:W78"/>
    <mergeCell ref="Z78:AC78"/>
    <mergeCell ref="D79:E79"/>
    <mergeCell ref="J79:K79"/>
    <mergeCell ref="P79:Q79"/>
    <mergeCell ref="V79:W79"/>
    <mergeCell ref="AB79:AC79"/>
    <mergeCell ref="D81:E81"/>
    <mergeCell ref="J81:K81"/>
    <mergeCell ref="P81:Q81"/>
    <mergeCell ref="V81:W81"/>
    <mergeCell ref="AB81:AC81"/>
    <mergeCell ref="D82:E82"/>
    <mergeCell ref="J82:K82"/>
    <mergeCell ref="P82:Q82"/>
    <mergeCell ref="V82:W82"/>
    <mergeCell ref="AB82:AC82"/>
    <mergeCell ref="B83:E83"/>
    <mergeCell ref="H83:K83"/>
    <mergeCell ref="N83:Q83"/>
    <mergeCell ref="T83:W83"/>
    <mergeCell ref="Z83:AC83"/>
    <mergeCell ref="B85:E85"/>
    <mergeCell ref="H85:K85"/>
    <mergeCell ref="N85:Q85"/>
    <mergeCell ref="T85:W85"/>
    <mergeCell ref="Z85:AC85"/>
    <mergeCell ref="D86:E86"/>
    <mergeCell ref="J86:K86"/>
    <mergeCell ref="P86:Q86"/>
    <mergeCell ref="V86:W86"/>
    <mergeCell ref="AB86:AC86"/>
    <mergeCell ref="D88:E88"/>
    <mergeCell ref="J88:K88"/>
    <mergeCell ref="P88:Q88"/>
    <mergeCell ref="V88:W88"/>
    <mergeCell ref="AB88:AC88"/>
    <mergeCell ref="D89:E89"/>
    <mergeCell ref="J89:K89"/>
    <mergeCell ref="P89:Q89"/>
    <mergeCell ref="V89:W89"/>
    <mergeCell ref="AB89:AC89"/>
    <mergeCell ref="B90:E90"/>
    <mergeCell ref="H90:K90"/>
    <mergeCell ref="N90:Q90"/>
    <mergeCell ref="T90:W90"/>
    <mergeCell ref="Z90:AC90"/>
    <mergeCell ref="B91:C91"/>
    <mergeCell ref="D91:F91"/>
    <mergeCell ref="H91:I91"/>
    <mergeCell ref="J91:L91"/>
    <mergeCell ref="N91:O91"/>
    <mergeCell ref="P91:R91"/>
    <mergeCell ref="S91:U91"/>
    <mergeCell ref="V91:X91"/>
    <mergeCell ref="Z91:AA91"/>
    <mergeCell ref="AB91:AD91"/>
    <mergeCell ref="B92:C92"/>
    <mergeCell ref="D92:F92"/>
    <mergeCell ref="H92:I92"/>
    <mergeCell ref="J92:L92"/>
    <mergeCell ref="N92:O92"/>
    <mergeCell ref="P92:R92"/>
    <mergeCell ref="S92:U92"/>
    <mergeCell ref="V92:X92"/>
    <mergeCell ref="AF1:AF17"/>
    <mergeCell ref="AF24:AF40"/>
    <mergeCell ref="AF47:AF63"/>
    <mergeCell ref="AF70:AF86"/>
    <mergeCell ref="AG1:AG2"/>
    <mergeCell ref="AG24:AG25"/>
    <mergeCell ref="AG47:AG48"/>
    <mergeCell ref="AG70:AG71"/>
    <mergeCell ref="AH1:AH2"/>
    <mergeCell ref="AH24:AH25"/>
    <mergeCell ref="AH47:AH48"/>
    <mergeCell ref="AH70:AH71"/>
    <mergeCell ref="AJ1:AJ17"/>
    <mergeCell ref="AK1:AK2"/>
    <mergeCell ref="AL1:AL2"/>
    <mergeCell ref="AM1:AM2"/>
    <mergeCell ref="AN1:AN2"/>
    <mergeCell ref="AP1:AP2"/>
    <mergeCell ref="AP24:AP25"/>
    <mergeCell ref="AP47:AP48"/>
    <mergeCell ref="AP70:AP71"/>
    <mergeCell ref="AQ1:AQ2"/>
    <mergeCell ref="AR1:AR2"/>
    <mergeCell ref="AS1:AS2"/>
    <mergeCell ref="AT1:AT2"/>
    <mergeCell ref="AU1:AU2"/>
    <mergeCell ref="AV1:AV2"/>
    <mergeCell ref="AW1:AW2"/>
    <mergeCell ref="AX1:AX2"/>
  </mergeCells>
  <printOptions horizontalCentered="1" verticalCentered="1"/>
  <pageMargins left="0.196527777777778" right="0.196527777777778" top="0.156944444444444" bottom="0.196527777777778" header="0.314583333333333" footer="0.314583333333333"/>
  <pageSetup paperSize="8" scale="93" fitToWidth="19" fitToHeight="6" orientation="landscape"/>
  <headerFooter/>
  <rowBreaks count="3" manualBreakCount="3">
    <brk id="23" max="16383" man="1"/>
    <brk id="46" max="16383" man="1"/>
    <brk id="69" max="16383" man="1"/>
  </rowBreaks>
  <colBreaks count="1" manualBreakCount="1">
    <brk id="3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订单模型</vt:lpstr>
      <vt:lpstr>数量推算</vt:lpstr>
      <vt:lpstr>市场地位（横）</vt:lpstr>
      <vt:lpstr>市场预测</vt:lpstr>
      <vt:lpstr>1年本地</vt:lpstr>
      <vt:lpstr>1年区域</vt:lpstr>
      <vt:lpstr>1年全国</vt:lpstr>
      <vt:lpstr>1年全球</vt:lpstr>
      <vt:lpstr>2年本地</vt:lpstr>
      <vt:lpstr>2年区域</vt:lpstr>
      <vt:lpstr>2年全国</vt:lpstr>
      <vt:lpstr>2年全球</vt:lpstr>
      <vt:lpstr>3年本地</vt:lpstr>
      <vt:lpstr>3年区域</vt:lpstr>
      <vt:lpstr>3年全国</vt:lpstr>
      <vt:lpstr>3年全球</vt:lpstr>
      <vt:lpstr>4年本地</vt:lpstr>
      <vt:lpstr>4年区域</vt:lpstr>
      <vt:lpstr>4年全国</vt:lpstr>
      <vt:lpstr>4年全球</vt:lpstr>
      <vt:lpstr>5年本地</vt:lpstr>
      <vt:lpstr>5年区域</vt:lpstr>
      <vt:lpstr>5年全国</vt:lpstr>
      <vt:lpstr>5年全球</vt:lpstr>
      <vt:lpstr>6年本地</vt:lpstr>
      <vt:lpstr>6年区域</vt:lpstr>
      <vt:lpstr>6年全国</vt:lpstr>
      <vt:lpstr>6年全球</vt:lpstr>
      <vt:lpstr>7年本地</vt:lpstr>
      <vt:lpstr>7年区域</vt:lpstr>
      <vt:lpstr>7年全国</vt:lpstr>
      <vt:lpstr>7年全球</vt:lpstr>
      <vt:lpstr>8年本地</vt:lpstr>
      <vt:lpstr>8年区域</vt:lpstr>
      <vt:lpstr>8年全国</vt:lpstr>
      <vt:lpstr>8年全球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</dc:creator>
  <cp:lastModifiedBy>p</cp:lastModifiedBy>
  <dcterms:created xsi:type="dcterms:W3CDTF">2023-05-12T11:15:00Z</dcterms:created>
  <cp:lastPrinted>2025-03-26T02:24:00Z</cp:lastPrinted>
  <dcterms:modified xsi:type="dcterms:W3CDTF">2026-05-18T01:45:19Z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FEE1C73620E34F9F8C8DCE0629F2EAC0_13</vt:lpwstr>
  </property>
  <property fmtid="{D5CDD505-2E9C-101B-9397-08002B2CF9AE}" pid="4" name="CalculationRule">
    <vt:i4>0</vt:i4>
  </property>
</Properties>
</file>